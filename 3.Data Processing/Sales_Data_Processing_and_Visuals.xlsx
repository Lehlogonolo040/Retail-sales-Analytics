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Metrics" sheetId="2" r:id="rId6"/>
    <sheet state="visible" name="Monthly Summary" sheetId="3" r:id="rId7"/>
    <sheet state="visible" name="Annual Summary" sheetId="4" r:id="rId8"/>
    <sheet state="visible" name="Day of Week Summary" sheetId="5" r:id="rId9"/>
    <sheet state="visible" name="Elasticity" sheetId="6" r:id="rId10"/>
    <sheet state="visible" name="KPI Summary" sheetId="7" r:id="rId11"/>
  </sheets>
  <definedNames/>
  <calcPr/>
</workbook>
</file>

<file path=xl/sharedStrings.xml><?xml version="1.0" encoding="utf-8"?>
<sst xmlns="http://schemas.openxmlformats.org/spreadsheetml/2006/main" count="115" uniqueCount="102">
  <si>
    <t>Date</t>
  </si>
  <si>
    <t>Month</t>
  </si>
  <si>
    <t>Year</t>
  </si>
  <si>
    <t>Total Sales (R)</t>
  </si>
  <si>
    <t>Sales (R)</t>
  </si>
  <si>
    <t>Total Cost of Sales (R)</t>
  </si>
  <si>
    <t>Cost of Sales (R)</t>
  </si>
  <si>
    <t>Total Gross Profit (R)</t>
  </si>
  <si>
    <t>Quantity Sold</t>
  </si>
  <si>
    <t>GP %</t>
  </si>
  <si>
    <t>Price per Unit (R)</t>
  </si>
  <si>
    <t>Gross Profit %</t>
  </si>
  <si>
    <t>Total Units Sold</t>
  </si>
  <si>
    <t>GP per Unit (R)</t>
  </si>
  <si>
    <t>Avg Unit Price (R)</t>
  </si>
  <si>
    <t>GP per Unit %</t>
  </si>
  <si>
    <t>2013-12</t>
  </si>
  <si>
    <t>Trading Days</t>
  </si>
  <si>
    <t>Year-Month</t>
  </si>
  <si>
    <t>DOW Num</t>
  </si>
  <si>
    <t>Day of Week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</si>
  <si>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</si>
  <si>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</si>
  <si>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</si>
  <si>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</si>
  <si>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</si>
  <si>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</si>
  <si>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</si>
  <si>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</si>
  <si>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</si>
  <si>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</si>
  <si>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</si>
  <si>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</si>
  <si>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</si>
  <si>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</si>
  <si>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</si>
  <si>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</si>
  <si>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</si>
  <si>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</si>
  <si>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</si>
  <si>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</si>
  <si>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</si>
  <si>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</si>
  <si>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</si>
  <si>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</si>
  <si>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Sales Case Study Interactive Dashboard</t>
  </si>
  <si>
    <t>2016-01</t>
  </si>
  <si>
    <t>Monthly, annual, day-of-week, and price elasticity summaries are calculated automatically, with charts displayed below.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</si>
  <si>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</si>
  <si>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</si>
  <si>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</si>
  <si>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</si>
  <si>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</si>
  <si>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</si>
  <si>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</si>
  <si>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</si>
  <si>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</si>
  <si>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</si>
  <si>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Avg Daily Sales (R)</t>
  </si>
  <si>
    <t>Avg Daily Qty</t>
  </si>
  <si>
    <t>Sunday</t>
  </si>
  <si>
    <t>Monday</t>
  </si>
  <si>
    <t>Tuesday</t>
  </si>
  <si>
    <t>Wednesday</t>
  </si>
  <si>
    <t>Thursday</t>
  </si>
  <si>
    <t>Friday</t>
  </si>
  <si>
    <t>Saturday</t>
  </si>
  <si>
    <t>Period</t>
  </si>
  <si>
    <t>Baseline Start</t>
  </si>
  <si>
    <t>Baseline End</t>
  </si>
  <si>
    <t>Promo Start</t>
  </si>
  <si>
    <t>Promo End</t>
  </si>
  <si>
    <t>Baseline Avg Price (R)</t>
  </si>
  <si>
    <t>Promo Avg Price (R)</t>
  </si>
  <si>
    <t>% Change Price</t>
  </si>
  <si>
    <t>Baseline Avg Qty</t>
  </si>
  <si>
    <t>Promo Avg Qty</t>
  </si>
  <si>
    <t>% Change Qty</t>
  </si>
  <si>
    <t>Price Elasticity of Demand</t>
  </si>
  <si>
    <t>Promo 1</t>
  </si>
  <si>
    <t>2016-01-04</t>
  </si>
  <si>
    <t>2016-01-21</t>
  </si>
  <si>
    <t>2016-01-22</t>
  </si>
  <si>
    <t>2016-02-08</t>
  </si>
  <si>
    <t>Promo 2</t>
  </si>
  <si>
    <t>2015-09-09</t>
  </si>
  <si>
    <t>2015-09-22</t>
  </si>
  <si>
    <t>2015-09-23</t>
  </si>
  <si>
    <t>2015-10-06</t>
  </si>
  <si>
    <t>Promo 3</t>
  </si>
  <si>
    <t>2016-06-17</t>
  </si>
  <si>
    <t>2016-06-26</t>
  </si>
  <si>
    <t>2016-06-27</t>
  </si>
  <si>
    <t>2016-07-06</t>
  </si>
  <si>
    <t>Metric</t>
  </si>
  <si>
    <t>Value</t>
  </si>
  <si>
    <t>Overall GP %</t>
  </si>
  <si>
    <t>Avg Daily Unit Price (R)</t>
  </si>
  <si>
    <t>Volume-Weighted Avg Unit Price (R)</t>
  </si>
  <si>
    <t>Total Trading Days</t>
  </si>
  <si>
    <t>First Date</t>
  </si>
  <si>
    <t>Last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</si>
</sst>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  <font>
      <b/>
      <sz val="16.0"/>
      <color rgb="FF000000"/>
      <name val="Arial"/>
    </font>
    <font>
      <color rgb="FF000000"/>
      <name val="Calibri"/>
      <scheme val="minor"/>
    </font>
    <font>
      <b/>
      <i/>
      <sz val="10.0"/>
      <color rgb="FF55555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C4A2"/>
        <bgColor rgb="FF1DC4A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2" fontId="4" numFmtId="0" xfId="0" applyFont="1"/>
    <xf borderId="0" fillId="2" fontId="5" numFmtId="0" xfId="0" applyAlignment="1" applyFont="1">
      <alignment readingOrder="0" shrinkToFit="0" vertical="bottom" wrapText="0"/>
    </xf>
    <xf borderId="0" fillId="2" fontId="6" numFmtId="0" xfId="0" applyFont="1"/>
    <xf borderId="0" fillId="2" fontId="7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Price per Unit (R) vs Date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'Daily Metrics'!$E$1</c:f>
            </c:strRef>
          </c:tx>
          <c:spPr>
            <a:solidFill>
              <a:srgbClr val="1DC4A2">
                <a:alpha val="30000"/>
              </a:srgbClr>
            </a:solidFill>
            <a:ln cmpd="sng" w="19050">
              <a:solidFill>
                <a:srgbClr val="1DC4A2">
                  <a:alpha val="100000"/>
                </a:srgbClr>
              </a:solidFill>
            </a:ln>
          </c:spPr>
          <c:cat>
            <c:strRef>
              <c:f>'Daily Metrics'!$A$2:$A$1054</c:f>
            </c:strRef>
          </c:cat>
          <c:val>
            <c:numRef>
              <c:f>'Daily Metrics'!$E$2:$E$1054</c:f>
              <c:numCache/>
            </c:numRef>
          </c:val>
        </c:ser>
        <c:axId val="737012811"/>
        <c:axId val="100484346"/>
      </c:areaChart>
      <c:catAx>
        <c:axId val="73701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84346"/>
      </c:catAx>
      <c:valAx>
        <c:axId val="10048434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per Unit (R)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012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Total Monthly Sales (R)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Sales (R)</c:v>
          </c:tx>
          <c:spPr>
            <a:solidFill>
              <a:srgbClr val="1DC4A2"/>
            </a:solidFill>
            <a:ln cmpd="sng">
              <a:noFill/>
            </a:ln>
          </c:spPr>
          <c:cat>
            <c:strRef>
              <c:f>'Monthly Summary'!$A$2:$A$37</c:f>
            </c:strRef>
          </c:cat>
          <c:val>
            <c:numRef>
              <c:f>'Monthly Summary'!$B$2:$B$37</c:f>
              <c:numCache/>
            </c:numRef>
          </c:val>
        </c:ser>
        <c:axId val="1435801014"/>
        <c:axId val="997499018"/>
      </c:barChart>
      <c:catAx>
        <c:axId val="1435801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7499018"/>
      </c:catAx>
      <c:valAx>
        <c:axId val="997499018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Sales (R)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58010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Gross Profit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Summary'!$E$1</c:f>
            </c:strRef>
          </c:tx>
          <c:spPr>
            <a:solidFill>
              <a:srgbClr val="D8850F"/>
            </a:solidFill>
            <a:ln cmpd="sng">
              <a:noFill/>
            </a:ln>
          </c:spPr>
          <c:dPt>
            <c:idx val="0"/>
            <c:spPr>
              <a:solidFill>
                <a:srgbClr val="D8850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D8850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8850F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D8850F"/>
              </a:solidFill>
              <a:ln cmpd="sng">
                <a:noFill/>
              </a:ln>
            </c:spPr>
          </c:dPt>
          <c:dPt>
            <c:idx val="11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27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31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33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34"/>
            <c:spPr>
              <a:solidFill>
                <a:srgbClr val="1DC4A2"/>
              </a:solidFill>
              <a:ln cmpd="sng">
                <a:noFill/>
              </a:ln>
            </c:spPr>
          </c:dPt>
          <c:dPt>
            <c:idx val="35"/>
            <c:spPr>
              <a:solidFill>
                <a:srgbClr val="1DC4A2"/>
              </a:solidFill>
              <a:ln cmpd="sng">
                <a:noFill/>
              </a:ln>
            </c:spPr>
          </c:dPt>
          <c:cat>
            <c:strRef>
              <c:f>'Monthly Summary'!$A$2:$A$37</c:f>
            </c:strRef>
          </c:cat>
          <c:val>
            <c:numRef>
              <c:f>'Monthly Summary'!$E$2:$E$37</c:f>
              <c:numCache/>
            </c:numRef>
          </c:val>
        </c:ser>
        <c:axId val="901092319"/>
        <c:axId val="1089936653"/>
      </c:barChart>
      <c:catAx>
        <c:axId val="90109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89936653"/>
      </c:catAx>
      <c:valAx>
        <c:axId val="108993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GP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1092319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Daily Sales by Day of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Daily Sales (R)</c:v>
          </c:tx>
          <c:spPr>
            <a:solidFill>
              <a:srgbClr val="1DC4A2"/>
            </a:solidFill>
            <a:ln cmpd="sng">
              <a:noFill/>
            </a:ln>
          </c:spPr>
          <c:cat>
            <c:strRef>
              <c:f>'Day of Week Summary'!$A$2:$A$8</c:f>
            </c:strRef>
          </c:cat>
          <c:val>
            <c:numRef>
              <c:f>'Day of Week Summary'!$C$2:$C$8</c:f>
              <c:numCache/>
            </c:numRef>
          </c:val>
        </c:ser>
        <c:axId val="596563496"/>
        <c:axId val="358147323"/>
      </c:barChart>
      <c:catAx>
        <c:axId val="596563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58147323"/>
      </c:catAx>
      <c:valAx>
        <c:axId val="358147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Avg Sales (R)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656349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Annual Gross Profit % (Year-over-Year)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GP %</c:v>
          </c:tx>
          <c:spPr>
            <a:solidFill>
              <a:srgbClr val="1DC4A2"/>
            </a:solidFill>
            <a:ln cmpd="sng">
              <a:noFill/>
            </a:ln>
          </c:spPr>
          <c:dPt>
            <c:idx val="2"/>
            <c:spPr>
              <a:solidFill>
                <a:srgbClr val="1DC4A2"/>
              </a:solidFill>
              <a:ln cmpd="sng">
                <a:noFill/>
              </a:ln>
            </c:spPr>
          </c:dPt>
          <c:cat>
            <c:strRef>
              <c:f>'Annual Summary'!$A$2:$A$5</c:f>
            </c:strRef>
          </c:cat>
          <c:val>
            <c:numRef>
              <c:f>'Annual Summary'!$E$2:$E$5</c:f>
              <c:numCache/>
            </c:numRef>
          </c:val>
        </c:ser>
        <c:axId val="1369702804"/>
        <c:axId val="848576725"/>
      </c:barChart>
      <c:catAx>
        <c:axId val="1369702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8576725"/>
      </c:catAx>
      <c:valAx>
        <c:axId val="848576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GP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97028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123825</xdr:rowOff>
    </xdr:from>
    <xdr:ext cx="11296650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18</xdr:row>
      <xdr:rowOff>47625</xdr:rowOff>
    </xdr:from>
    <xdr:ext cx="5476875" cy="3019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18</xdr:row>
      <xdr:rowOff>57150</xdr:rowOff>
    </xdr:from>
    <xdr:ext cx="5476875" cy="3019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581025</xdr:colOff>
      <xdr:row>34</xdr:row>
      <xdr:rowOff>9525</xdr:rowOff>
    </xdr:from>
    <xdr:ext cx="5476875" cy="3019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0</xdr:colOff>
      <xdr:row>34</xdr:row>
      <xdr:rowOff>9525</xdr:rowOff>
    </xdr:from>
    <xdr:ext cx="5476875" cy="3019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9" t="s">
        <v>45</v>
      </c>
      <c r="C2" s="10"/>
      <c r="D2" s="10"/>
      <c r="E2" s="10"/>
      <c r="F2" s="10"/>
      <c r="G2" s="10"/>
      <c r="H2" s="1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11" t="s">
        <v>47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15.86"/>
    <col customWidth="1" min="4" max="4" width="14.0"/>
    <col customWidth="1" min="5" max="5" width="16.86"/>
    <col customWidth="1" min="6" max="6" width="14.0"/>
    <col customWidth="1" min="7" max="7" width="16.86"/>
    <col customWidth="1" min="8" max="12" width="14.0"/>
    <col customWidth="1" min="13" max="26" width="8.71"/>
  </cols>
  <sheetData>
    <row r="1" ht="15.0" customHeight="1">
      <c r="A1" s="1" t="s">
        <v>0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</v>
      </c>
      <c r="K1" s="1" t="s">
        <v>19</v>
      </c>
      <c r="L1" s="1" t="s">
        <v>20</v>
      </c>
    </row>
    <row r="2" ht="15.0" customHeight="1">
      <c r="A2" s="4">
        <v>41638.0</v>
      </c>
      <c r="B2" s="2">
        <v>223937.97</v>
      </c>
      <c r="C2" s="2">
        <v>230079.62</v>
      </c>
      <c r="D2" s="2">
        <v>6827.0</v>
      </c>
      <c r="E2" s="5">
        <f t="shared" ref="E2:E1054" si="1">B2/D2</f>
        <v>32.80181192</v>
      </c>
      <c r="F2" s="7">
        <f t="shared" ref="F2:F1054" si="2">(B2-C2)/B2</f>
        <v>-0.02742567507</v>
      </c>
      <c r="G2" s="5">
        <f t="shared" ref="G2:G1054" si="3">(B2-C2)/D2</f>
        <v>-0.8996118354</v>
      </c>
      <c r="H2" s="7">
        <f t="shared" ref="H2:H1054" si="4">G2/E2</f>
        <v>-0.02742567507</v>
      </c>
      <c r="I2" s="2" t="str">
        <f t="shared" ref="I2:I1054" si="5">TEXT(A2,"yyyy-mm")</f>
        <v>2013-12</v>
      </c>
      <c r="J2" s="2">
        <f t="shared" ref="J2:J1054" si="6">YEAR(A2)</f>
        <v>2013</v>
      </c>
      <c r="K2" s="2">
        <f t="shared" ref="K2:K1054" si="7">WEEKDAY(A2,1)</f>
        <v>2</v>
      </c>
      <c r="L2" s="2" t="str">
        <f t="shared" ref="L2:L1054" si="8">TEXT(A2,"ddd")</f>
        <v>Mon</v>
      </c>
    </row>
    <row r="3" ht="15.0" customHeight="1">
      <c r="A3" s="4">
        <v>41639.0</v>
      </c>
      <c r="B3" s="2">
        <v>300345.48</v>
      </c>
      <c r="C3" s="2">
        <v>306986.12</v>
      </c>
      <c r="D3" s="2">
        <v>9268.0</v>
      </c>
      <c r="E3" s="5">
        <f t="shared" si="1"/>
        <v>32.4067199</v>
      </c>
      <c r="F3" s="7">
        <f t="shared" si="2"/>
        <v>-0.02211000479</v>
      </c>
      <c r="G3" s="5">
        <f t="shared" si="3"/>
        <v>-0.716512732</v>
      </c>
      <c r="H3" s="7">
        <f t="shared" si="4"/>
        <v>-0.02211000479</v>
      </c>
      <c r="I3" s="2" t="str">
        <f t="shared" si="5"/>
        <v>2013-12</v>
      </c>
      <c r="J3" s="2">
        <f t="shared" si="6"/>
        <v>2013</v>
      </c>
      <c r="K3" s="2">
        <f t="shared" si="7"/>
        <v>3</v>
      </c>
      <c r="L3" s="2" t="str">
        <f t="shared" si="8"/>
        <v>Tue</v>
      </c>
    </row>
    <row r="4" ht="15.0" customHeight="1">
      <c r="A4" s="4">
        <v>41640.0</v>
      </c>
      <c r="B4" s="2">
        <v>86782.47</v>
      </c>
      <c r="C4" s="2">
        <v>87986.32</v>
      </c>
      <c r="D4" s="2">
        <v>2678.0</v>
      </c>
      <c r="E4" s="5">
        <f t="shared" si="1"/>
        <v>32.40570202</v>
      </c>
      <c r="F4" s="7">
        <f t="shared" si="2"/>
        <v>-0.01387204121</v>
      </c>
      <c r="G4" s="5">
        <f t="shared" si="3"/>
        <v>-0.4495332338</v>
      </c>
      <c r="H4" s="7">
        <f t="shared" si="4"/>
        <v>-0.01387204121</v>
      </c>
      <c r="I4" s="2" t="str">
        <f t="shared" si="5"/>
        <v>2014-01</v>
      </c>
      <c r="J4" s="2">
        <f t="shared" si="6"/>
        <v>2014</v>
      </c>
      <c r="K4" s="2">
        <f t="shared" si="7"/>
        <v>4</v>
      </c>
      <c r="L4" s="2" t="str">
        <f t="shared" si="8"/>
        <v>Wed</v>
      </c>
    </row>
    <row r="5" ht="15.0" customHeight="1">
      <c r="A5" s="4">
        <v>41641.0</v>
      </c>
      <c r="B5" s="2">
        <v>200173.12</v>
      </c>
      <c r="C5" s="2">
        <v>202881.18</v>
      </c>
      <c r="D5" s="2">
        <v>6175.0</v>
      </c>
      <c r="E5" s="5">
        <f t="shared" si="1"/>
        <v>32.4166996</v>
      </c>
      <c r="F5" s="7">
        <f t="shared" si="2"/>
        <v>-0.01352858965</v>
      </c>
      <c r="G5" s="5">
        <f t="shared" si="3"/>
        <v>-0.4385522267</v>
      </c>
      <c r="H5" s="7">
        <f t="shared" si="4"/>
        <v>-0.01352858965</v>
      </c>
      <c r="I5" s="2" t="str">
        <f t="shared" si="5"/>
        <v>2014-01</v>
      </c>
      <c r="J5" s="2">
        <f t="shared" si="6"/>
        <v>2014</v>
      </c>
      <c r="K5" s="2">
        <f t="shared" si="7"/>
        <v>5</v>
      </c>
      <c r="L5" s="2" t="str">
        <f t="shared" si="8"/>
        <v>Thu</v>
      </c>
    </row>
    <row r="6" ht="15.0" customHeight="1">
      <c r="A6" s="4">
        <v>41642.0</v>
      </c>
      <c r="B6" s="2">
        <v>326906.07</v>
      </c>
      <c r="C6" s="2">
        <v>333806.29</v>
      </c>
      <c r="D6" s="2">
        <v>10084.0</v>
      </c>
      <c r="E6" s="5">
        <f t="shared" si="1"/>
        <v>32.41829334</v>
      </c>
      <c r="F6" s="7">
        <f t="shared" si="2"/>
        <v>-0.02110765334</v>
      </c>
      <c r="G6" s="5">
        <f t="shared" si="3"/>
        <v>-0.6842740976</v>
      </c>
      <c r="H6" s="7">
        <f t="shared" si="4"/>
        <v>-0.02110765334</v>
      </c>
      <c r="I6" s="2" t="str">
        <f t="shared" si="5"/>
        <v>2014-01</v>
      </c>
      <c r="J6" s="2">
        <f t="shared" si="6"/>
        <v>2014</v>
      </c>
      <c r="K6" s="2">
        <f t="shared" si="7"/>
        <v>6</v>
      </c>
      <c r="L6" s="2" t="str">
        <f t="shared" si="8"/>
        <v>Fri</v>
      </c>
    </row>
    <row r="7" ht="15.0" customHeight="1">
      <c r="A7" s="4">
        <v>41643.0</v>
      </c>
      <c r="B7" s="2">
        <v>307043.94</v>
      </c>
      <c r="C7" s="2">
        <v>313652.35</v>
      </c>
      <c r="D7" s="2">
        <v>9470.0</v>
      </c>
      <c r="E7" s="5">
        <f t="shared" si="1"/>
        <v>32.42280253</v>
      </c>
      <c r="F7" s="7">
        <f t="shared" si="2"/>
        <v>-0.02152268499</v>
      </c>
      <c r="G7" s="5">
        <f t="shared" si="3"/>
        <v>-0.6978257656</v>
      </c>
      <c r="H7" s="7">
        <f t="shared" si="4"/>
        <v>-0.02152268499</v>
      </c>
      <c r="I7" s="2" t="str">
        <f t="shared" si="5"/>
        <v>2014-01</v>
      </c>
      <c r="J7" s="2">
        <f t="shared" si="6"/>
        <v>2014</v>
      </c>
      <c r="K7" s="2">
        <f t="shared" si="7"/>
        <v>7</v>
      </c>
      <c r="L7" s="2" t="str">
        <f t="shared" si="8"/>
        <v>Sat</v>
      </c>
    </row>
    <row r="8" ht="15.0" customHeight="1">
      <c r="A8" s="4">
        <v>41644.0</v>
      </c>
      <c r="B8" s="2">
        <v>179188.88</v>
      </c>
      <c r="C8" s="2">
        <v>183083.28</v>
      </c>
      <c r="D8" s="2">
        <v>5524.0</v>
      </c>
      <c r="E8" s="5">
        <f t="shared" si="1"/>
        <v>32.43824765</v>
      </c>
      <c r="F8" s="7">
        <f t="shared" si="2"/>
        <v>-0.0217334915</v>
      </c>
      <c r="G8" s="5">
        <f t="shared" si="3"/>
        <v>-0.7049963794</v>
      </c>
      <c r="H8" s="7">
        <f t="shared" si="4"/>
        <v>-0.0217334915</v>
      </c>
      <c r="I8" s="2" t="str">
        <f t="shared" si="5"/>
        <v>2014-01</v>
      </c>
      <c r="J8" s="2">
        <f t="shared" si="6"/>
        <v>2014</v>
      </c>
      <c r="K8" s="2">
        <f t="shared" si="7"/>
        <v>1</v>
      </c>
      <c r="L8" s="2" t="str">
        <f t="shared" si="8"/>
        <v>Sun</v>
      </c>
    </row>
    <row r="9" ht="15.0" customHeight="1">
      <c r="A9" s="4">
        <v>41645.0</v>
      </c>
      <c r="B9" s="2">
        <v>306351.95</v>
      </c>
      <c r="C9" s="2">
        <v>313446.07</v>
      </c>
      <c r="D9" s="2">
        <v>9448.0</v>
      </c>
      <c r="E9" s="5">
        <f t="shared" si="1"/>
        <v>32.42505821</v>
      </c>
      <c r="F9" s="7">
        <f t="shared" si="2"/>
        <v>-0.02315676463</v>
      </c>
      <c r="G9" s="5">
        <f t="shared" si="3"/>
        <v>-0.7508594412</v>
      </c>
      <c r="H9" s="7">
        <f t="shared" si="4"/>
        <v>-0.02315676463</v>
      </c>
      <c r="I9" s="2" t="str">
        <f t="shared" si="5"/>
        <v>2014-01</v>
      </c>
      <c r="J9" s="2">
        <f t="shared" si="6"/>
        <v>2014</v>
      </c>
      <c r="K9" s="2">
        <f t="shared" si="7"/>
        <v>2</v>
      </c>
      <c r="L9" s="2" t="str">
        <f t="shared" si="8"/>
        <v>Mon</v>
      </c>
    </row>
    <row r="10" ht="15.0" customHeight="1">
      <c r="A10" s="4">
        <v>41646.0</v>
      </c>
      <c r="B10" s="2">
        <v>224020.41</v>
      </c>
      <c r="C10" s="2">
        <v>229533.97</v>
      </c>
      <c r="D10" s="2">
        <v>6911.0</v>
      </c>
      <c r="E10" s="5">
        <f t="shared" si="1"/>
        <v>32.41504992</v>
      </c>
      <c r="F10" s="7">
        <f t="shared" si="2"/>
        <v>-0.02461186461</v>
      </c>
      <c r="G10" s="5">
        <f t="shared" si="3"/>
        <v>-0.7977948199</v>
      </c>
      <c r="H10" s="7">
        <f t="shared" si="4"/>
        <v>-0.02461186461</v>
      </c>
      <c r="I10" s="2" t="str">
        <f t="shared" si="5"/>
        <v>2014-01</v>
      </c>
      <c r="J10" s="2">
        <f t="shared" si="6"/>
        <v>2014</v>
      </c>
      <c r="K10" s="2">
        <f t="shared" si="7"/>
        <v>3</v>
      </c>
      <c r="L10" s="2" t="str">
        <f t="shared" si="8"/>
        <v>Tue</v>
      </c>
    </row>
    <row r="11" ht="15.0" customHeight="1">
      <c r="A11" s="4">
        <v>41647.0</v>
      </c>
      <c r="B11" s="2">
        <v>101836.4</v>
      </c>
      <c r="C11" s="2">
        <v>99381.97</v>
      </c>
      <c r="D11" s="2">
        <v>2990.0</v>
      </c>
      <c r="E11" s="5">
        <f t="shared" si="1"/>
        <v>34.05899666</v>
      </c>
      <c r="F11" s="7">
        <f t="shared" si="2"/>
        <v>0.02410169645</v>
      </c>
      <c r="G11" s="5">
        <f t="shared" si="3"/>
        <v>0.8208795987</v>
      </c>
      <c r="H11" s="7">
        <f t="shared" si="4"/>
        <v>0.02410169645</v>
      </c>
      <c r="I11" s="2" t="str">
        <f t="shared" si="5"/>
        <v>2014-01</v>
      </c>
      <c r="J11" s="2">
        <f t="shared" si="6"/>
        <v>2014</v>
      </c>
      <c r="K11" s="2">
        <f t="shared" si="7"/>
        <v>4</v>
      </c>
      <c r="L11" s="2" t="str">
        <f t="shared" si="8"/>
        <v>Wed</v>
      </c>
    </row>
    <row r="12" ht="15.0" customHeight="1">
      <c r="A12" s="4">
        <v>41648.0</v>
      </c>
      <c r="B12" s="2">
        <v>107804.3</v>
      </c>
      <c r="C12" s="2">
        <v>104816.46</v>
      </c>
      <c r="D12" s="2">
        <v>3159.0</v>
      </c>
      <c r="E12" s="5">
        <f t="shared" si="1"/>
        <v>34.1260842</v>
      </c>
      <c r="F12" s="7">
        <f t="shared" si="2"/>
        <v>0.02771540653</v>
      </c>
      <c r="G12" s="5">
        <f t="shared" si="3"/>
        <v>0.9458182969</v>
      </c>
      <c r="H12" s="7">
        <f t="shared" si="4"/>
        <v>0.02771540653</v>
      </c>
      <c r="I12" s="2" t="str">
        <f t="shared" si="5"/>
        <v>2014-01</v>
      </c>
      <c r="J12" s="2">
        <f t="shared" si="6"/>
        <v>2014</v>
      </c>
      <c r="K12" s="2">
        <f t="shared" si="7"/>
        <v>5</v>
      </c>
      <c r="L12" s="2" t="str">
        <f t="shared" si="8"/>
        <v>Thu</v>
      </c>
    </row>
    <row r="13" ht="15.0" customHeight="1">
      <c r="A13" s="4">
        <v>41649.0</v>
      </c>
      <c r="B13" s="2">
        <v>144829.96</v>
      </c>
      <c r="C13" s="2">
        <v>141334.0</v>
      </c>
      <c r="D13" s="2">
        <v>4246.0</v>
      </c>
      <c r="E13" s="5">
        <f t="shared" si="1"/>
        <v>34.10974093</v>
      </c>
      <c r="F13" s="7">
        <f t="shared" si="2"/>
        <v>0.02413837579</v>
      </c>
      <c r="G13" s="5">
        <f t="shared" si="3"/>
        <v>0.8233537447</v>
      </c>
      <c r="H13" s="7">
        <f t="shared" si="4"/>
        <v>0.02413837579</v>
      </c>
      <c r="I13" s="2" t="str">
        <f t="shared" si="5"/>
        <v>2014-01</v>
      </c>
      <c r="J13" s="2">
        <f t="shared" si="6"/>
        <v>2014</v>
      </c>
      <c r="K13" s="2">
        <f t="shared" si="7"/>
        <v>6</v>
      </c>
      <c r="L13" s="2" t="str">
        <f t="shared" si="8"/>
        <v>Fri</v>
      </c>
    </row>
    <row r="14" ht="15.0" customHeight="1">
      <c r="A14" s="4">
        <v>41650.0</v>
      </c>
      <c r="B14" s="2">
        <v>146571.48</v>
      </c>
      <c r="C14" s="2">
        <v>143179.67</v>
      </c>
      <c r="D14" s="2">
        <v>4297.0</v>
      </c>
      <c r="E14" s="5">
        <f t="shared" si="1"/>
        <v>34.1101885</v>
      </c>
      <c r="F14" s="7">
        <f t="shared" si="2"/>
        <v>0.02314099578</v>
      </c>
      <c r="G14" s="5">
        <f t="shared" si="3"/>
        <v>0.7893437282</v>
      </c>
      <c r="H14" s="7">
        <f t="shared" si="4"/>
        <v>0.02314099578</v>
      </c>
      <c r="I14" s="2" t="str">
        <f t="shared" si="5"/>
        <v>2014-01</v>
      </c>
      <c r="J14" s="2">
        <f t="shared" si="6"/>
        <v>2014</v>
      </c>
      <c r="K14" s="2">
        <f t="shared" si="7"/>
        <v>7</v>
      </c>
      <c r="L14" s="2" t="str">
        <f t="shared" si="8"/>
        <v>Sat</v>
      </c>
    </row>
    <row r="15" ht="15.0" customHeight="1">
      <c r="A15" s="4">
        <v>41651.0</v>
      </c>
      <c r="B15" s="2">
        <v>95422.37</v>
      </c>
      <c r="C15" s="2">
        <v>93126.15</v>
      </c>
      <c r="D15" s="2">
        <v>2796.0</v>
      </c>
      <c r="E15" s="5">
        <f t="shared" si="1"/>
        <v>34.12817239</v>
      </c>
      <c r="F15" s="7">
        <f t="shared" si="2"/>
        <v>0.02406374941</v>
      </c>
      <c r="G15" s="5">
        <f t="shared" si="3"/>
        <v>0.8212517883</v>
      </c>
      <c r="H15" s="7">
        <f t="shared" si="4"/>
        <v>0.02406374941</v>
      </c>
      <c r="I15" s="2" t="str">
        <f t="shared" si="5"/>
        <v>2014-01</v>
      </c>
      <c r="J15" s="2">
        <f t="shared" si="6"/>
        <v>2014</v>
      </c>
      <c r="K15" s="2">
        <f t="shared" si="7"/>
        <v>1</v>
      </c>
      <c r="L15" s="2" t="str">
        <f t="shared" si="8"/>
        <v>Sun</v>
      </c>
    </row>
    <row r="16" ht="15.0" customHeight="1">
      <c r="A16" s="4">
        <v>41652.0</v>
      </c>
      <c r="B16" s="2">
        <v>114883.17</v>
      </c>
      <c r="C16" s="2">
        <v>112186.31</v>
      </c>
      <c r="D16" s="2">
        <v>3369.0</v>
      </c>
      <c r="E16" s="5">
        <f t="shared" si="1"/>
        <v>34.10008014</v>
      </c>
      <c r="F16" s="7">
        <f t="shared" si="2"/>
        <v>0.02347480488</v>
      </c>
      <c r="G16" s="5">
        <f t="shared" si="3"/>
        <v>0.8004927278</v>
      </c>
      <c r="H16" s="7">
        <f t="shared" si="4"/>
        <v>0.02347480488</v>
      </c>
      <c r="I16" s="2" t="str">
        <f t="shared" si="5"/>
        <v>2014-01</v>
      </c>
      <c r="J16" s="2">
        <f t="shared" si="6"/>
        <v>2014</v>
      </c>
      <c r="K16" s="2">
        <f t="shared" si="7"/>
        <v>2</v>
      </c>
      <c r="L16" s="2" t="str">
        <f t="shared" si="8"/>
        <v>Mon</v>
      </c>
    </row>
    <row r="17" ht="15.0" customHeight="1">
      <c r="A17" s="4">
        <v>41653.0</v>
      </c>
      <c r="B17" s="2">
        <v>80090.8</v>
      </c>
      <c r="C17" s="2">
        <v>78096.76</v>
      </c>
      <c r="D17" s="2">
        <v>2348.0</v>
      </c>
      <c r="E17" s="5">
        <f t="shared" si="1"/>
        <v>34.11022147</v>
      </c>
      <c r="F17" s="7">
        <f t="shared" si="2"/>
        <v>0.02489724163</v>
      </c>
      <c r="G17" s="5">
        <f t="shared" si="3"/>
        <v>0.8492504259</v>
      </c>
      <c r="H17" s="7">
        <f t="shared" si="4"/>
        <v>0.02489724163</v>
      </c>
      <c r="I17" s="2" t="str">
        <f t="shared" si="5"/>
        <v>2014-01</v>
      </c>
      <c r="J17" s="2">
        <f t="shared" si="6"/>
        <v>2014</v>
      </c>
      <c r="K17" s="2">
        <f t="shared" si="7"/>
        <v>3</v>
      </c>
      <c r="L17" s="2" t="str">
        <f t="shared" si="8"/>
        <v>Tue</v>
      </c>
    </row>
    <row r="18" ht="15.0" customHeight="1">
      <c r="A18" s="4">
        <v>41654.0</v>
      </c>
      <c r="B18" s="2">
        <v>98945.37</v>
      </c>
      <c r="C18" s="2">
        <v>97159.0</v>
      </c>
      <c r="D18" s="2">
        <v>2903.0</v>
      </c>
      <c r="E18" s="5">
        <f t="shared" si="1"/>
        <v>34.08383396</v>
      </c>
      <c r="F18" s="7">
        <f t="shared" si="2"/>
        <v>0.018054104</v>
      </c>
      <c r="G18" s="5">
        <f t="shared" si="3"/>
        <v>0.615353083</v>
      </c>
      <c r="H18" s="7">
        <f t="shared" si="4"/>
        <v>0.018054104</v>
      </c>
      <c r="I18" s="2" t="str">
        <f t="shared" si="5"/>
        <v>2014-01</v>
      </c>
      <c r="J18" s="2">
        <f t="shared" si="6"/>
        <v>2014</v>
      </c>
      <c r="K18" s="2">
        <f t="shared" si="7"/>
        <v>4</v>
      </c>
      <c r="L18" s="2" t="str">
        <f t="shared" si="8"/>
        <v>Wed</v>
      </c>
    </row>
    <row r="19" ht="15.0" customHeight="1">
      <c r="A19" s="4">
        <v>41655.0</v>
      </c>
      <c r="B19" s="2">
        <v>84904.9</v>
      </c>
      <c r="C19" s="2">
        <v>83350.43</v>
      </c>
      <c r="D19" s="2">
        <v>2491.0</v>
      </c>
      <c r="E19" s="5">
        <f t="shared" si="1"/>
        <v>34.08466479</v>
      </c>
      <c r="F19" s="7">
        <f t="shared" si="2"/>
        <v>0.01830836618</v>
      </c>
      <c r="G19" s="5">
        <f t="shared" si="3"/>
        <v>0.6240345243</v>
      </c>
      <c r="H19" s="7">
        <f t="shared" si="4"/>
        <v>0.01830836618</v>
      </c>
      <c r="I19" s="2" t="str">
        <f t="shared" si="5"/>
        <v>2014-01</v>
      </c>
      <c r="J19" s="2">
        <f t="shared" si="6"/>
        <v>2014</v>
      </c>
      <c r="K19" s="2">
        <f t="shared" si="7"/>
        <v>5</v>
      </c>
      <c r="L19" s="2" t="str">
        <f t="shared" si="8"/>
        <v>Thu</v>
      </c>
    </row>
    <row r="20" ht="15.0" customHeight="1">
      <c r="A20" s="4">
        <v>41656.0</v>
      </c>
      <c r="B20" s="2">
        <v>135460.62</v>
      </c>
      <c r="C20" s="2">
        <v>132703.34</v>
      </c>
      <c r="D20" s="2">
        <v>3968.0</v>
      </c>
      <c r="E20" s="5">
        <f t="shared" si="1"/>
        <v>34.13826109</v>
      </c>
      <c r="F20" s="7">
        <f t="shared" si="2"/>
        <v>0.02035484556</v>
      </c>
      <c r="G20" s="5">
        <f t="shared" si="3"/>
        <v>0.6948790323</v>
      </c>
      <c r="H20" s="7">
        <f t="shared" si="4"/>
        <v>0.02035484556</v>
      </c>
      <c r="I20" s="2" t="str">
        <f t="shared" si="5"/>
        <v>2014-01</v>
      </c>
      <c r="J20" s="2">
        <f t="shared" si="6"/>
        <v>2014</v>
      </c>
      <c r="K20" s="2">
        <f t="shared" si="7"/>
        <v>6</v>
      </c>
      <c r="L20" s="2" t="str">
        <f t="shared" si="8"/>
        <v>Fri</v>
      </c>
    </row>
    <row r="21" ht="15.0" customHeight="1">
      <c r="A21" s="4">
        <v>41657.0</v>
      </c>
      <c r="B21" s="2">
        <v>149925.75</v>
      </c>
      <c r="C21" s="2">
        <v>146928.41</v>
      </c>
      <c r="D21" s="2">
        <v>4393.0</v>
      </c>
      <c r="E21" s="5">
        <f t="shared" si="1"/>
        <v>34.12832916</v>
      </c>
      <c r="F21" s="7">
        <f t="shared" si="2"/>
        <v>0.01999216279</v>
      </c>
      <c r="G21" s="5">
        <f t="shared" si="3"/>
        <v>0.6822991122</v>
      </c>
      <c r="H21" s="7">
        <f t="shared" si="4"/>
        <v>0.01999216279</v>
      </c>
      <c r="I21" s="2" t="str">
        <f t="shared" si="5"/>
        <v>2014-01</v>
      </c>
      <c r="J21" s="2">
        <f t="shared" si="6"/>
        <v>2014</v>
      </c>
      <c r="K21" s="2">
        <f t="shared" si="7"/>
        <v>7</v>
      </c>
      <c r="L21" s="2" t="str">
        <f t="shared" si="8"/>
        <v>Sat</v>
      </c>
    </row>
    <row r="22" ht="15.0" customHeight="1">
      <c r="A22" s="4">
        <v>41658.0</v>
      </c>
      <c r="B22" s="2">
        <v>74297.31</v>
      </c>
      <c r="C22" s="2">
        <v>72782.28</v>
      </c>
      <c r="D22" s="2">
        <v>2176.0</v>
      </c>
      <c r="E22" s="5">
        <f t="shared" si="1"/>
        <v>34.14398438</v>
      </c>
      <c r="F22" s="7">
        <f t="shared" si="2"/>
        <v>0.02039145159</v>
      </c>
      <c r="G22" s="5">
        <f t="shared" si="3"/>
        <v>0.6962454044</v>
      </c>
      <c r="H22" s="7">
        <f t="shared" si="4"/>
        <v>0.02039145159</v>
      </c>
      <c r="I22" s="2" t="str">
        <f t="shared" si="5"/>
        <v>2014-01</v>
      </c>
      <c r="J22" s="2">
        <f t="shared" si="6"/>
        <v>2014</v>
      </c>
      <c r="K22" s="2">
        <f t="shared" si="7"/>
        <v>1</v>
      </c>
      <c r="L22" s="2" t="str">
        <f t="shared" si="8"/>
        <v>Sun</v>
      </c>
    </row>
    <row r="23" ht="15.0" customHeight="1">
      <c r="A23" s="4">
        <v>41659.0</v>
      </c>
      <c r="B23" s="2">
        <v>83356.42</v>
      </c>
      <c r="C23" s="2">
        <v>81789.14</v>
      </c>
      <c r="D23" s="2">
        <v>2443.0</v>
      </c>
      <c r="E23" s="5">
        <f t="shared" si="1"/>
        <v>34.12051576</v>
      </c>
      <c r="F23" s="7">
        <f t="shared" si="2"/>
        <v>0.01880215105</v>
      </c>
      <c r="G23" s="5">
        <f t="shared" si="3"/>
        <v>0.6415390913</v>
      </c>
      <c r="H23" s="7">
        <f t="shared" si="4"/>
        <v>0.01880215105</v>
      </c>
      <c r="I23" s="2" t="str">
        <f t="shared" si="5"/>
        <v>2014-01</v>
      </c>
      <c r="J23" s="2">
        <f t="shared" si="6"/>
        <v>2014</v>
      </c>
      <c r="K23" s="2">
        <f t="shared" si="7"/>
        <v>2</v>
      </c>
      <c r="L23" s="2" t="str">
        <f t="shared" si="8"/>
        <v>Mon</v>
      </c>
    </row>
    <row r="24" ht="15.0" customHeight="1">
      <c r="A24" s="4">
        <v>41660.0</v>
      </c>
      <c r="B24" s="2">
        <v>89922.01</v>
      </c>
      <c r="C24" s="2">
        <v>88388.92</v>
      </c>
      <c r="D24" s="2">
        <v>2638.0</v>
      </c>
      <c r="E24" s="5">
        <f t="shared" si="1"/>
        <v>34.08719105</v>
      </c>
      <c r="F24" s="7">
        <f t="shared" si="2"/>
        <v>0.01704910733</v>
      </c>
      <c r="G24" s="5">
        <f t="shared" si="3"/>
        <v>0.5811561789</v>
      </c>
      <c r="H24" s="7">
        <f t="shared" si="4"/>
        <v>0.01704910733</v>
      </c>
      <c r="I24" s="2" t="str">
        <f t="shared" si="5"/>
        <v>2014-01</v>
      </c>
      <c r="J24" s="2">
        <f t="shared" si="6"/>
        <v>2014</v>
      </c>
      <c r="K24" s="2">
        <f t="shared" si="7"/>
        <v>3</v>
      </c>
      <c r="L24" s="2" t="str">
        <f t="shared" si="8"/>
        <v>Tue</v>
      </c>
    </row>
    <row r="25" ht="15.0" customHeight="1">
      <c r="A25" s="4">
        <v>41661.0</v>
      </c>
      <c r="B25" s="2">
        <v>57806.3</v>
      </c>
      <c r="C25" s="2">
        <v>57157.28</v>
      </c>
      <c r="D25" s="2">
        <v>1704.0</v>
      </c>
      <c r="E25" s="5">
        <f t="shared" si="1"/>
        <v>33.92388498</v>
      </c>
      <c r="F25" s="7">
        <f t="shared" si="2"/>
        <v>0.01122749596</v>
      </c>
      <c r="G25" s="5">
        <f t="shared" si="3"/>
        <v>0.3808802817</v>
      </c>
      <c r="H25" s="7">
        <f t="shared" si="4"/>
        <v>0.01122749596</v>
      </c>
      <c r="I25" s="2" t="str">
        <f t="shared" si="5"/>
        <v>2014-01</v>
      </c>
      <c r="J25" s="2">
        <f t="shared" si="6"/>
        <v>2014</v>
      </c>
      <c r="K25" s="2">
        <f t="shared" si="7"/>
        <v>4</v>
      </c>
      <c r="L25" s="2" t="str">
        <f t="shared" si="8"/>
        <v>Wed</v>
      </c>
    </row>
    <row r="26" ht="15.0" customHeight="1">
      <c r="A26" s="4">
        <v>41662.0</v>
      </c>
      <c r="B26" s="2">
        <v>63977.75</v>
      </c>
      <c r="C26" s="2">
        <v>62863.99</v>
      </c>
      <c r="D26" s="2">
        <v>1872.0</v>
      </c>
      <c r="E26" s="5">
        <f t="shared" si="1"/>
        <v>34.1761485</v>
      </c>
      <c r="F26" s="7">
        <f t="shared" si="2"/>
        <v>0.01740855219</v>
      </c>
      <c r="G26" s="5">
        <f t="shared" si="3"/>
        <v>0.594957265</v>
      </c>
      <c r="H26" s="7">
        <f t="shared" si="4"/>
        <v>0.01740855219</v>
      </c>
      <c r="I26" s="2" t="str">
        <f t="shared" si="5"/>
        <v>2014-01</v>
      </c>
      <c r="J26" s="2">
        <f t="shared" si="6"/>
        <v>2014</v>
      </c>
      <c r="K26" s="2">
        <f t="shared" si="7"/>
        <v>5</v>
      </c>
      <c r="L26" s="2" t="str">
        <f t="shared" si="8"/>
        <v>Thu</v>
      </c>
    </row>
    <row r="27" ht="15.0" customHeight="1">
      <c r="A27" s="4">
        <v>41663.0</v>
      </c>
      <c r="B27" s="2">
        <v>116958.8</v>
      </c>
      <c r="C27" s="2">
        <v>114823.8</v>
      </c>
      <c r="D27" s="2">
        <v>3423.0</v>
      </c>
      <c r="E27" s="5">
        <f t="shared" si="1"/>
        <v>34.16850716</v>
      </c>
      <c r="F27" s="7">
        <f t="shared" si="2"/>
        <v>0.01825429125</v>
      </c>
      <c r="G27" s="5">
        <f t="shared" si="3"/>
        <v>0.6237218814</v>
      </c>
      <c r="H27" s="7">
        <f t="shared" si="4"/>
        <v>0.01825429125</v>
      </c>
      <c r="I27" s="2" t="str">
        <f t="shared" si="5"/>
        <v>2014-01</v>
      </c>
      <c r="J27" s="2">
        <f t="shared" si="6"/>
        <v>2014</v>
      </c>
      <c r="K27" s="2">
        <f t="shared" si="7"/>
        <v>6</v>
      </c>
      <c r="L27" s="2" t="str">
        <f t="shared" si="8"/>
        <v>Fri</v>
      </c>
    </row>
    <row r="28" ht="15.0" customHeight="1">
      <c r="A28" s="4">
        <v>41664.0</v>
      </c>
      <c r="B28" s="2">
        <v>155272.82</v>
      </c>
      <c r="C28" s="2">
        <v>152636.28</v>
      </c>
      <c r="D28" s="2">
        <v>4544.0</v>
      </c>
      <c r="E28" s="5">
        <f t="shared" si="1"/>
        <v>34.17095511</v>
      </c>
      <c r="F28" s="7">
        <f t="shared" si="2"/>
        <v>0.01698004841</v>
      </c>
      <c r="G28" s="5">
        <f t="shared" si="3"/>
        <v>0.5802244718</v>
      </c>
      <c r="H28" s="7">
        <f t="shared" si="4"/>
        <v>0.01698004841</v>
      </c>
      <c r="I28" s="2" t="str">
        <f t="shared" si="5"/>
        <v>2014-01</v>
      </c>
      <c r="J28" s="2">
        <f t="shared" si="6"/>
        <v>2014</v>
      </c>
      <c r="K28" s="2">
        <f t="shared" si="7"/>
        <v>7</v>
      </c>
      <c r="L28" s="2" t="str">
        <f t="shared" si="8"/>
        <v>Sat</v>
      </c>
    </row>
    <row r="29" ht="15.0" customHeight="1">
      <c r="A29" s="4">
        <v>41665.0</v>
      </c>
      <c r="B29" s="2">
        <v>82885.22</v>
      </c>
      <c r="C29" s="2">
        <v>81583.17</v>
      </c>
      <c r="D29" s="2">
        <v>2426.0</v>
      </c>
      <c r="E29" s="5">
        <f t="shared" si="1"/>
        <v>34.16538335</v>
      </c>
      <c r="F29" s="7">
        <f t="shared" si="2"/>
        <v>0.01570907334</v>
      </c>
      <c r="G29" s="5">
        <f t="shared" si="3"/>
        <v>0.5367065128</v>
      </c>
      <c r="H29" s="7">
        <f t="shared" si="4"/>
        <v>0.01570907334</v>
      </c>
      <c r="I29" s="2" t="str">
        <f t="shared" si="5"/>
        <v>2014-01</v>
      </c>
      <c r="J29" s="2">
        <f t="shared" si="6"/>
        <v>2014</v>
      </c>
      <c r="K29" s="2">
        <f t="shared" si="7"/>
        <v>1</v>
      </c>
      <c r="L29" s="2" t="str">
        <f t="shared" si="8"/>
        <v>Sun</v>
      </c>
    </row>
    <row r="30" ht="15.0" customHeight="1">
      <c r="A30" s="4">
        <v>41666.0</v>
      </c>
      <c r="B30" s="2">
        <v>72353.43</v>
      </c>
      <c r="C30" s="2">
        <v>71377.16</v>
      </c>
      <c r="D30" s="2">
        <v>2117.0</v>
      </c>
      <c r="E30" s="5">
        <f t="shared" si="1"/>
        <v>34.17734058</v>
      </c>
      <c r="F30" s="7">
        <f t="shared" si="2"/>
        <v>0.01349307144</v>
      </c>
      <c r="G30" s="5">
        <f t="shared" si="3"/>
        <v>0.4611572981</v>
      </c>
      <c r="H30" s="7">
        <f t="shared" si="4"/>
        <v>0.01349307144</v>
      </c>
      <c r="I30" s="2" t="str">
        <f t="shared" si="5"/>
        <v>2014-01</v>
      </c>
      <c r="J30" s="2">
        <f t="shared" si="6"/>
        <v>2014</v>
      </c>
      <c r="K30" s="2">
        <f t="shared" si="7"/>
        <v>2</v>
      </c>
      <c r="L30" s="2" t="str">
        <f t="shared" si="8"/>
        <v>Mon</v>
      </c>
    </row>
    <row r="31" ht="15.0" customHeight="1">
      <c r="A31" s="4">
        <v>41667.0</v>
      </c>
      <c r="B31" s="2">
        <v>50415.9</v>
      </c>
      <c r="C31" s="2">
        <v>49769.1</v>
      </c>
      <c r="D31" s="2">
        <v>1476.0</v>
      </c>
      <c r="E31" s="5">
        <f t="shared" si="1"/>
        <v>34.15711382</v>
      </c>
      <c r="F31" s="7">
        <f t="shared" si="2"/>
        <v>0.012829286</v>
      </c>
      <c r="G31" s="5">
        <f t="shared" si="3"/>
        <v>0.4382113821</v>
      </c>
      <c r="H31" s="7">
        <f t="shared" si="4"/>
        <v>0.012829286</v>
      </c>
      <c r="I31" s="2" t="str">
        <f t="shared" si="5"/>
        <v>2014-01</v>
      </c>
      <c r="J31" s="2">
        <f t="shared" si="6"/>
        <v>2014</v>
      </c>
      <c r="K31" s="2">
        <f t="shared" si="7"/>
        <v>3</v>
      </c>
      <c r="L31" s="2" t="str">
        <f t="shared" si="8"/>
        <v>Tue</v>
      </c>
    </row>
    <row r="32" ht="15.0" customHeight="1">
      <c r="A32" s="4">
        <v>41668.0</v>
      </c>
      <c r="B32" s="2">
        <v>67458.3</v>
      </c>
      <c r="C32" s="2">
        <v>66529.44</v>
      </c>
      <c r="D32" s="2">
        <v>1974.0</v>
      </c>
      <c r="E32" s="5">
        <f t="shared" si="1"/>
        <v>34.17340426</v>
      </c>
      <c r="F32" s="7">
        <f t="shared" si="2"/>
        <v>0.01376939532</v>
      </c>
      <c r="G32" s="5">
        <f t="shared" si="3"/>
        <v>0.4705471125</v>
      </c>
      <c r="H32" s="7">
        <f t="shared" si="4"/>
        <v>0.01376939532</v>
      </c>
      <c r="I32" s="2" t="str">
        <f t="shared" si="5"/>
        <v>2014-01</v>
      </c>
      <c r="J32" s="2">
        <f t="shared" si="6"/>
        <v>2014</v>
      </c>
      <c r="K32" s="2">
        <f t="shared" si="7"/>
        <v>4</v>
      </c>
      <c r="L32" s="2" t="str">
        <f t="shared" si="8"/>
        <v>Wed</v>
      </c>
    </row>
    <row r="33" ht="15.0" customHeight="1">
      <c r="A33" s="4">
        <v>41669.0</v>
      </c>
      <c r="B33" s="2">
        <v>64640.37</v>
      </c>
      <c r="C33" s="2">
        <v>63757.84</v>
      </c>
      <c r="D33" s="2">
        <v>1892.0</v>
      </c>
      <c r="E33" s="5">
        <f t="shared" si="1"/>
        <v>34.16510042</v>
      </c>
      <c r="F33" s="7">
        <f t="shared" si="2"/>
        <v>0.01365292309</v>
      </c>
      <c r="G33" s="5">
        <f t="shared" si="3"/>
        <v>0.4664534884</v>
      </c>
      <c r="H33" s="7">
        <f t="shared" si="4"/>
        <v>0.01365292309</v>
      </c>
      <c r="I33" s="2" t="str">
        <f t="shared" si="5"/>
        <v>2014-01</v>
      </c>
      <c r="J33" s="2">
        <f t="shared" si="6"/>
        <v>2014</v>
      </c>
      <c r="K33" s="2">
        <f t="shared" si="7"/>
        <v>5</v>
      </c>
      <c r="L33" s="2" t="str">
        <f t="shared" si="8"/>
        <v>Thu</v>
      </c>
    </row>
    <row r="34" ht="15.0" customHeight="1">
      <c r="A34" s="4">
        <v>41670.0</v>
      </c>
      <c r="B34" s="2">
        <v>137693.87</v>
      </c>
      <c r="C34" s="2">
        <v>135609.51</v>
      </c>
      <c r="D34" s="2">
        <v>4030.0</v>
      </c>
      <c r="E34" s="5">
        <f t="shared" si="1"/>
        <v>34.1672134</v>
      </c>
      <c r="F34" s="7">
        <f t="shared" si="2"/>
        <v>0.0151376383</v>
      </c>
      <c r="G34" s="5">
        <f t="shared" si="3"/>
        <v>0.5172109181</v>
      </c>
      <c r="H34" s="7">
        <f t="shared" si="4"/>
        <v>0.0151376383</v>
      </c>
      <c r="I34" s="2" t="str">
        <f t="shared" si="5"/>
        <v>2014-01</v>
      </c>
      <c r="J34" s="2">
        <f t="shared" si="6"/>
        <v>2014</v>
      </c>
      <c r="K34" s="2">
        <f t="shared" si="7"/>
        <v>6</v>
      </c>
      <c r="L34" s="2" t="str">
        <f t="shared" si="8"/>
        <v>Fri</v>
      </c>
    </row>
    <row r="35" ht="15.0" customHeight="1">
      <c r="A35" s="4">
        <v>41671.0</v>
      </c>
      <c r="B35" s="2">
        <v>181209.13</v>
      </c>
      <c r="C35" s="2">
        <v>178435.72</v>
      </c>
      <c r="D35" s="2">
        <v>5304.0</v>
      </c>
      <c r="E35" s="5">
        <f t="shared" si="1"/>
        <v>34.16461727</v>
      </c>
      <c r="F35" s="7">
        <f t="shared" si="2"/>
        <v>0.01530502354</v>
      </c>
      <c r="G35" s="5">
        <f t="shared" si="3"/>
        <v>0.5228902715</v>
      </c>
      <c r="H35" s="7">
        <f t="shared" si="4"/>
        <v>0.01530502354</v>
      </c>
      <c r="I35" s="2" t="str">
        <f t="shared" si="5"/>
        <v>2014-02</v>
      </c>
      <c r="J35" s="2">
        <f t="shared" si="6"/>
        <v>2014</v>
      </c>
      <c r="K35" s="2">
        <f t="shared" si="7"/>
        <v>7</v>
      </c>
      <c r="L35" s="2" t="str">
        <f t="shared" si="8"/>
        <v>Sat</v>
      </c>
    </row>
    <row r="36" ht="15.0" customHeight="1">
      <c r="A36" s="4">
        <v>41672.0</v>
      </c>
      <c r="B36" s="2">
        <v>113433.58</v>
      </c>
      <c r="C36" s="2">
        <v>111466.52</v>
      </c>
      <c r="D36" s="2">
        <v>3320.0</v>
      </c>
      <c r="E36" s="5">
        <f t="shared" si="1"/>
        <v>34.16674096</v>
      </c>
      <c r="F36" s="7">
        <f t="shared" si="2"/>
        <v>0.01734107308</v>
      </c>
      <c r="G36" s="5">
        <f t="shared" si="3"/>
        <v>0.5924879518</v>
      </c>
      <c r="H36" s="7">
        <f t="shared" si="4"/>
        <v>0.01734107308</v>
      </c>
      <c r="I36" s="2" t="str">
        <f t="shared" si="5"/>
        <v>2014-02</v>
      </c>
      <c r="J36" s="2">
        <f t="shared" si="6"/>
        <v>2014</v>
      </c>
      <c r="K36" s="2">
        <f t="shared" si="7"/>
        <v>1</v>
      </c>
      <c r="L36" s="2" t="str">
        <f t="shared" si="8"/>
        <v>Sun</v>
      </c>
    </row>
    <row r="37" ht="15.0" customHeight="1">
      <c r="A37" s="4">
        <v>41673.0</v>
      </c>
      <c r="B37" s="2">
        <v>143192.53</v>
      </c>
      <c r="C37" s="2">
        <v>140505.63</v>
      </c>
      <c r="D37" s="2">
        <v>4191.0</v>
      </c>
      <c r="E37" s="5">
        <f t="shared" si="1"/>
        <v>34.16667382</v>
      </c>
      <c r="F37" s="7">
        <f t="shared" si="2"/>
        <v>0.01876424699</v>
      </c>
      <c r="G37" s="5">
        <f t="shared" si="3"/>
        <v>0.6411119065</v>
      </c>
      <c r="H37" s="7">
        <f t="shared" si="4"/>
        <v>0.01876424699</v>
      </c>
      <c r="I37" s="2" t="str">
        <f t="shared" si="5"/>
        <v>2014-02</v>
      </c>
      <c r="J37" s="2">
        <f t="shared" si="6"/>
        <v>2014</v>
      </c>
      <c r="K37" s="2">
        <f t="shared" si="7"/>
        <v>2</v>
      </c>
      <c r="L37" s="2" t="str">
        <f t="shared" si="8"/>
        <v>Mon</v>
      </c>
    </row>
    <row r="38" ht="15.0" customHeight="1">
      <c r="A38" s="4">
        <v>41674.0</v>
      </c>
      <c r="B38" s="2">
        <v>130126.65</v>
      </c>
      <c r="C38" s="2">
        <v>128496.29</v>
      </c>
      <c r="D38" s="2">
        <v>3809.0</v>
      </c>
      <c r="E38" s="5">
        <f t="shared" si="1"/>
        <v>34.16294303</v>
      </c>
      <c r="F38" s="7">
        <f t="shared" si="2"/>
        <v>0.01252902461</v>
      </c>
      <c r="G38" s="5">
        <f t="shared" si="3"/>
        <v>0.4280283539</v>
      </c>
      <c r="H38" s="7">
        <f t="shared" si="4"/>
        <v>0.01252902461</v>
      </c>
      <c r="I38" s="2" t="str">
        <f t="shared" si="5"/>
        <v>2014-02</v>
      </c>
      <c r="J38" s="2">
        <f t="shared" si="6"/>
        <v>2014</v>
      </c>
      <c r="K38" s="2">
        <f t="shared" si="7"/>
        <v>3</v>
      </c>
      <c r="L38" s="2" t="str">
        <f t="shared" si="8"/>
        <v>Tue</v>
      </c>
    </row>
    <row r="39" ht="15.0" customHeight="1">
      <c r="A39" s="4">
        <v>41675.0</v>
      </c>
      <c r="B39" s="2">
        <v>187155.87</v>
      </c>
      <c r="C39" s="2">
        <v>195078.6</v>
      </c>
      <c r="D39" s="2">
        <v>5764.0</v>
      </c>
      <c r="E39" s="5">
        <f t="shared" si="1"/>
        <v>32.46979008</v>
      </c>
      <c r="F39" s="7">
        <f t="shared" si="2"/>
        <v>-0.04233225493</v>
      </c>
      <c r="G39" s="5">
        <f t="shared" si="3"/>
        <v>-1.374519431</v>
      </c>
      <c r="H39" s="7">
        <f t="shared" si="4"/>
        <v>-0.04233225493</v>
      </c>
      <c r="I39" s="2" t="str">
        <f t="shared" si="5"/>
        <v>2014-02</v>
      </c>
      <c r="J39" s="2">
        <f t="shared" si="6"/>
        <v>2014</v>
      </c>
      <c r="K39" s="2">
        <f t="shared" si="7"/>
        <v>4</v>
      </c>
      <c r="L39" s="2" t="str">
        <f t="shared" si="8"/>
        <v>Wed</v>
      </c>
    </row>
    <row r="40" ht="15.0" customHeight="1">
      <c r="A40" s="4">
        <v>41676.0</v>
      </c>
      <c r="B40" s="2">
        <v>102314.71</v>
      </c>
      <c r="C40" s="2">
        <v>101977.99</v>
      </c>
      <c r="D40" s="2">
        <v>3028.0</v>
      </c>
      <c r="E40" s="5">
        <f t="shared" si="1"/>
        <v>33.78953435</v>
      </c>
      <c r="F40" s="7">
        <f t="shared" si="2"/>
        <v>0.003291022376</v>
      </c>
      <c r="G40" s="5">
        <f t="shared" si="3"/>
        <v>0.1112021136</v>
      </c>
      <c r="H40" s="7">
        <f t="shared" si="4"/>
        <v>0.003291022376</v>
      </c>
      <c r="I40" s="2" t="str">
        <f t="shared" si="5"/>
        <v>2014-02</v>
      </c>
      <c r="J40" s="2">
        <f t="shared" si="6"/>
        <v>2014</v>
      </c>
      <c r="K40" s="2">
        <f t="shared" si="7"/>
        <v>5</v>
      </c>
      <c r="L40" s="2" t="str">
        <f t="shared" si="8"/>
        <v>Thu</v>
      </c>
    </row>
    <row r="41" ht="15.0" customHeight="1">
      <c r="A41" s="4">
        <v>41677.0</v>
      </c>
      <c r="B41" s="2">
        <v>301553.84</v>
      </c>
      <c r="C41" s="2">
        <v>313529.19</v>
      </c>
      <c r="D41" s="2">
        <v>9284.0</v>
      </c>
      <c r="E41" s="5">
        <f t="shared" si="1"/>
        <v>32.48102542</v>
      </c>
      <c r="F41" s="7">
        <f t="shared" si="2"/>
        <v>-0.0397121456</v>
      </c>
      <c r="G41" s="5">
        <f t="shared" si="3"/>
        <v>-1.289891211</v>
      </c>
      <c r="H41" s="7">
        <f t="shared" si="4"/>
        <v>-0.0397121456</v>
      </c>
      <c r="I41" s="2" t="str">
        <f t="shared" si="5"/>
        <v>2014-02</v>
      </c>
      <c r="J41" s="2">
        <f t="shared" si="6"/>
        <v>2014</v>
      </c>
      <c r="K41" s="2">
        <f t="shared" si="7"/>
        <v>6</v>
      </c>
      <c r="L41" s="2" t="str">
        <f t="shared" si="8"/>
        <v>Fri</v>
      </c>
    </row>
    <row r="42" ht="15.0" customHeight="1">
      <c r="A42" s="4">
        <v>41678.0</v>
      </c>
      <c r="B42" s="2">
        <v>316073.18</v>
      </c>
      <c r="C42" s="2">
        <v>329754.78</v>
      </c>
      <c r="D42" s="2">
        <v>9737.0</v>
      </c>
      <c r="E42" s="5">
        <f t="shared" si="1"/>
        <v>32.46104344</v>
      </c>
      <c r="F42" s="7">
        <f t="shared" si="2"/>
        <v>-0.04328617822</v>
      </c>
      <c r="G42" s="5">
        <f t="shared" si="3"/>
        <v>-1.405114512</v>
      </c>
      <c r="H42" s="7">
        <f t="shared" si="4"/>
        <v>-0.04328617822</v>
      </c>
      <c r="I42" s="2" t="str">
        <f t="shared" si="5"/>
        <v>2014-02</v>
      </c>
      <c r="J42" s="2">
        <f t="shared" si="6"/>
        <v>2014</v>
      </c>
      <c r="K42" s="2">
        <f t="shared" si="7"/>
        <v>7</v>
      </c>
      <c r="L42" s="2" t="str">
        <f t="shared" si="8"/>
        <v>Sat</v>
      </c>
    </row>
    <row r="43" ht="15.0" customHeight="1">
      <c r="A43" s="4">
        <v>41679.0</v>
      </c>
      <c r="B43" s="2">
        <v>135178.04</v>
      </c>
      <c r="C43" s="2">
        <v>141530.71</v>
      </c>
      <c r="D43" s="2">
        <v>4163.0</v>
      </c>
      <c r="E43" s="5">
        <f t="shared" si="1"/>
        <v>32.47130435</v>
      </c>
      <c r="F43" s="7">
        <f t="shared" si="2"/>
        <v>-0.04699483733</v>
      </c>
      <c r="G43" s="5">
        <f t="shared" si="3"/>
        <v>-1.525983666</v>
      </c>
      <c r="H43" s="7">
        <f t="shared" si="4"/>
        <v>-0.04699483733</v>
      </c>
      <c r="I43" s="2" t="str">
        <f t="shared" si="5"/>
        <v>2014-02</v>
      </c>
      <c r="J43" s="2">
        <f t="shared" si="6"/>
        <v>2014</v>
      </c>
      <c r="K43" s="2">
        <f t="shared" si="7"/>
        <v>1</v>
      </c>
      <c r="L43" s="2" t="str">
        <f t="shared" si="8"/>
        <v>Sun</v>
      </c>
    </row>
    <row r="44" ht="15.0" customHeight="1">
      <c r="A44" s="4">
        <v>41680.0</v>
      </c>
      <c r="B44" s="2">
        <v>147727.52</v>
      </c>
      <c r="C44" s="2">
        <v>154828.68</v>
      </c>
      <c r="D44" s="2">
        <v>4552.0</v>
      </c>
      <c r="E44" s="5">
        <f t="shared" si="1"/>
        <v>32.45332162</v>
      </c>
      <c r="F44" s="7">
        <f t="shared" si="2"/>
        <v>-0.04806931031</v>
      </c>
      <c r="G44" s="5">
        <f t="shared" si="3"/>
        <v>-1.560008787</v>
      </c>
      <c r="H44" s="7">
        <f t="shared" si="4"/>
        <v>-0.04806931031</v>
      </c>
      <c r="I44" s="2" t="str">
        <f t="shared" si="5"/>
        <v>2014-02</v>
      </c>
      <c r="J44" s="2">
        <f t="shared" si="6"/>
        <v>2014</v>
      </c>
      <c r="K44" s="2">
        <f t="shared" si="7"/>
        <v>2</v>
      </c>
      <c r="L44" s="2" t="str">
        <f t="shared" si="8"/>
        <v>Mon</v>
      </c>
    </row>
    <row r="45" ht="15.0" customHeight="1">
      <c r="A45" s="4">
        <v>41681.0</v>
      </c>
      <c r="B45" s="2">
        <v>135498.75</v>
      </c>
      <c r="C45" s="2">
        <v>139824.16</v>
      </c>
      <c r="D45" s="2">
        <v>4172.0</v>
      </c>
      <c r="E45" s="5">
        <f t="shared" si="1"/>
        <v>32.478128</v>
      </c>
      <c r="F45" s="7">
        <f t="shared" si="2"/>
        <v>-0.0319221395</v>
      </c>
      <c r="G45" s="5">
        <f t="shared" si="3"/>
        <v>-1.036771333</v>
      </c>
      <c r="H45" s="7">
        <f t="shared" si="4"/>
        <v>-0.0319221395</v>
      </c>
      <c r="I45" s="2" t="str">
        <f t="shared" si="5"/>
        <v>2014-02</v>
      </c>
      <c r="J45" s="2">
        <f t="shared" si="6"/>
        <v>2014</v>
      </c>
      <c r="K45" s="2">
        <f t="shared" si="7"/>
        <v>3</v>
      </c>
      <c r="L45" s="2" t="str">
        <f t="shared" si="8"/>
        <v>Tue</v>
      </c>
    </row>
    <row r="46" ht="15.0" customHeight="1">
      <c r="A46" s="4">
        <v>41682.0</v>
      </c>
      <c r="B46" s="2">
        <v>163432.85</v>
      </c>
      <c r="C46" s="2">
        <v>166893.37</v>
      </c>
      <c r="D46" s="2">
        <v>5037.0</v>
      </c>
      <c r="E46" s="5">
        <f t="shared" si="1"/>
        <v>32.44646615</v>
      </c>
      <c r="F46" s="7">
        <f t="shared" si="2"/>
        <v>-0.02117395615</v>
      </c>
      <c r="G46" s="5">
        <f t="shared" si="3"/>
        <v>-0.6870200516</v>
      </c>
      <c r="H46" s="7">
        <f t="shared" si="4"/>
        <v>-0.02117395615</v>
      </c>
      <c r="I46" s="2" t="str">
        <f t="shared" si="5"/>
        <v>2014-02</v>
      </c>
      <c r="J46" s="2">
        <f t="shared" si="6"/>
        <v>2014</v>
      </c>
      <c r="K46" s="2">
        <f t="shared" si="7"/>
        <v>4</v>
      </c>
      <c r="L46" s="2" t="str">
        <f t="shared" si="8"/>
        <v>Wed</v>
      </c>
    </row>
    <row r="47" ht="15.0" customHeight="1">
      <c r="A47" s="4">
        <v>41683.0</v>
      </c>
      <c r="B47" s="2">
        <v>138291.63</v>
      </c>
      <c r="C47" s="2">
        <v>141027.43</v>
      </c>
      <c r="D47" s="2">
        <v>4259.0</v>
      </c>
      <c r="E47" s="5">
        <f t="shared" si="1"/>
        <v>32.47044611</v>
      </c>
      <c r="F47" s="7">
        <f t="shared" si="2"/>
        <v>-0.0197828314</v>
      </c>
      <c r="G47" s="5">
        <f t="shared" si="3"/>
        <v>-0.6423573609</v>
      </c>
      <c r="H47" s="7">
        <f t="shared" si="4"/>
        <v>-0.0197828314</v>
      </c>
      <c r="I47" s="2" t="str">
        <f t="shared" si="5"/>
        <v>2014-02</v>
      </c>
      <c r="J47" s="2">
        <f t="shared" si="6"/>
        <v>2014</v>
      </c>
      <c r="K47" s="2">
        <f t="shared" si="7"/>
        <v>5</v>
      </c>
      <c r="L47" s="2" t="str">
        <f t="shared" si="8"/>
        <v>Thu</v>
      </c>
    </row>
    <row r="48" ht="15.0" customHeight="1">
      <c r="A48" s="4">
        <v>41684.0</v>
      </c>
      <c r="B48" s="2">
        <v>336901.37</v>
      </c>
      <c r="C48" s="2">
        <v>343519.88</v>
      </c>
      <c r="D48" s="2">
        <v>10381.0</v>
      </c>
      <c r="E48" s="5">
        <f t="shared" si="1"/>
        <v>32.45365283</v>
      </c>
      <c r="F48" s="7">
        <f t="shared" si="2"/>
        <v>-0.01964524514</v>
      </c>
      <c r="G48" s="5">
        <f t="shared" si="3"/>
        <v>-0.6375599653</v>
      </c>
      <c r="H48" s="7">
        <f t="shared" si="4"/>
        <v>-0.01964524514</v>
      </c>
      <c r="I48" s="2" t="str">
        <f t="shared" si="5"/>
        <v>2014-02</v>
      </c>
      <c r="J48" s="2">
        <f t="shared" si="6"/>
        <v>2014</v>
      </c>
      <c r="K48" s="2">
        <f t="shared" si="7"/>
        <v>6</v>
      </c>
      <c r="L48" s="2" t="str">
        <f t="shared" si="8"/>
        <v>Fri</v>
      </c>
    </row>
    <row r="49" ht="15.0" customHeight="1">
      <c r="A49" s="4">
        <v>41685.0</v>
      </c>
      <c r="B49" s="2">
        <v>367729.27</v>
      </c>
      <c r="C49" s="2">
        <v>373973.59</v>
      </c>
      <c r="D49" s="2">
        <v>11332.0</v>
      </c>
      <c r="E49" s="5">
        <f t="shared" si="1"/>
        <v>32.450518</v>
      </c>
      <c r="F49" s="7">
        <f t="shared" si="2"/>
        <v>-0.01698075326</v>
      </c>
      <c r="G49" s="5">
        <f t="shared" si="3"/>
        <v>-0.5510342393</v>
      </c>
      <c r="H49" s="7">
        <f t="shared" si="4"/>
        <v>-0.01698075326</v>
      </c>
      <c r="I49" s="2" t="str">
        <f t="shared" si="5"/>
        <v>2014-02</v>
      </c>
      <c r="J49" s="2">
        <f t="shared" si="6"/>
        <v>2014</v>
      </c>
      <c r="K49" s="2">
        <f t="shared" si="7"/>
        <v>7</v>
      </c>
      <c r="L49" s="2" t="str">
        <f t="shared" si="8"/>
        <v>Sat</v>
      </c>
    </row>
    <row r="50" ht="15.0" customHeight="1">
      <c r="A50" s="4">
        <v>41686.0</v>
      </c>
      <c r="B50" s="2">
        <v>133913.84</v>
      </c>
      <c r="C50" s="2">
        <v>136797.08</v>
      </c>
      <c r="D50" s="2">
        <v>4127.0</v>
      </c>
      <c r="E50" s="5">
        <f t="shared" si="1"/>
        <v>32.44822874</v>
      </c>
      <c r="F50" s="7">
        <f t="shared" si="2"/>
        <v>-0.02153056025</v>
      </c>
      <c r="G50" s="5">
        <f t="shared" si="3"/>
        <v>-0.6986285437</v>
      </c>
      <c r="H50" s="7">
        <f t="shared" si="4"/>
        <v>-0.02153056025</v>
      </c>
      <c r="I50" s="2" t="str">
        <f t="shared" si="5"/>
        <v>2014-02</v>
      </c>
      <c r="J50" s="2">
        <f t="shared" si="6"/>
        <v>2014</v>
      </c>
      <c r="K50" s="2">
        <f t="shared" si="7"/>
        <v>1</v>
      </c>
      <c r="L50" s="2" t="str">
        <f t="shared" si="8"/>
        <v>Sun</v>
      </c>
    </row>
    <row r="51" ht="15.0" customHeight="1">
      <c r="A51" s="4">
        <v>41687.0</v>
      </c>
      <c r="B51" s="2">
        <v>150800.35</v>
      </c>
      <c r="C51" s="2">
        <v>152887.11</v>
      </c>
      <c r="D51" s="2">
        <v>4649.0</v>
      </c>
      <c r="E51" s="5">
        <f t="shared" si="1"/>
        <v>32.43715853</v>
      </c>
      <c r="F51" s="7">
        <f t="shared" si="2"/>
        <v>-0.01383789892</v>
      </c>
      <c r="G51" s="5">
        <f t="shared" si="3"/>
        <v>-0.4488621209</v>
      </c>
      <c r="H51" s="7">
        <f t="shared" si="4"/>
        <v>-0.01383789892</v>
      </c>
      <c r="I51" s="2" t="str">
        <f t="shared" si="5"/>
        <v>2014-02</v>
      </c>
      <c r="J51" s="2">
        <f t="shared" si="6"/>
        <v>2014</v>
      </c>
      <c r="K51" s="2">
        <f t="shared" si="7"/>
        <v>2</v>
      </c>
      <c r="L51" s="2" t="str">
        <f t="shared" si="8"/>
        <v>Mon</v>
      </c>
    </row>
    <row r="52" ht="15.0" customHeight="1">
      <c r="A52" s="4">
        <v>41688.0</v>
      </c>
      <c r="B52" s="2">
        <v>55591.93</v>
      </c>
      <c r="C52" s="2">
        <v>53463.24</v>
      </c>
      <c r="D52" s="2">
        <v>1627.0</v>
      </c>
      <c r="E52" s="5">
        <f t="shared" si="1"/>
        <v>34.16836509</v>
      </c>
      <c r="F52" s="7">
        <f t="shared" si="2"/>
        <v>0.03829134912</v>
      </c>
      <c r="G52" s="5">
        <f t="shared" si="3"/>
        <v>1.308352797</v>
      </c>
      <c r="H52" s="7">
        <f t="shared" si="4"/>
        <v>0.03829134912</v>
      </c>
      <c r="I52" s="2" t="str">
        <f t="shared" si="5"/>
        <v>2014-02</v>
      </c>
      <c r="J52" s="2">
        <f t="shared" si="6"/>
        <v>2014</v>
      </c>
      <c r="K52" s="2">
        <f t="shared" si="7"/>
        <v>3</v>
      </c>
      <c r="L52" s="2" t="str">
        <f t="shared" si="8"/>
        <v>Tue</v>
      </c>
    </row>
    <row r="53" ht="15.0" customHeight="1">
      <c r="A53" s="4">
        <v>41689.0</v>
      </c>
      <c r="B53" s="2">
        <v>106427.19</v>
      </c>
      <c r="C53" s="2">
        <v>107736.44</v>
      </c>
      <c r="D53" s="2">
        <v>3281.0</v>
      </c>
      <c r="E53" s="5">
        <f t="shared" si="1"/>
        <v>32.43742457</v>
      </c>
      <c r="F53" s="7">
        <f t="shared" si="2"/>
        <v>-0.01230183753</v>
      </c>
      <c r="G53" s="5">
        <f t="shared" si="3"/>
        <v>-0.3990399269</v>
      </c>
      <c r="H53" s="7">
        <f t="shared" si="4"/>
        <v>-0.01230183753</v>
      </c>
      <c r="I53" s="2" t="str">
        <f t="shared" si="5"/>
        <v>2014-02</v>
      </c>
      <c r="J53" s="2">
        <f t="shared" si="6"/>
        <v>2014</v>
      </c>
      <c r="K53" s="2">
        <f t="shared" si="7"/>
        <v>4</v>
      </c>
      <c r="L53" s="2" t="str">
        <f t="shared" si="8"/>
        <v>Wed</v>
      </c>
    </row>
    <row r="54" ht="15.0" customHeight="1">
      <c r="A54" s="4">
        <v>41690.0</v>
      </c>
      <c r="B54" s="2">
        <v>78940.55</v>
      </c>
      <c r="C54" s="2">
        <v>75934.39</v>
      </c>
      <c r="D54" s="2">
        <v>2310.0</v>
      </c>
      <c r="E54" s="5">
        <f t="shared" si="1"/>
        <v>34.17339827</v>
      </c>
      <c r="F54" s="7">
        <f t="shared" si="2"/>
        <v>0.03808131562</v>
      </c>
      <c r="G54" s="5">
        <f t="shared" si="3"/>
        <v>1.301367965</v>
      </c>
      <c r="H54" s="7">
        <f t="shared" si="4"/>
        <v>0.03808131562</v>
      </c>
      <c r="I54" s="2" t="str">
        <f t="shared" si="5"/>
        <v>2014-02</v>
      </c>
      <c r="J54" s="2">
        <f t="shared" si="6"/>
        <v>2014</v>
      </c>
      <c r="K54" s="2">
        <f t="shared" si="7"/>
        <v>5</v>
      </c>
      <c r="L54" s="2" t="str">
        <f t="shared" si="8"/>
        <v>Thu</v>
      </c>
    </row>
    <row r="55" ht="15.0" customHeight="1">
      <c r="A55" s="4">
        <v>41691.0</v>
      </c>
      <c r="B55" s="2">
        <v>317916.32</v>
      </c>
      <c r="C55" s="2">
        <v>322089.79</v>
      </c>
      <c r="D55" s="2">
        <v>9802.0</v>
      </c>
      <c r="E55" s="5">
        <f t="shared" si="1"/>
        <v>32.43382167</v>
      </c>
      <c r="F55" s="7">
        <f t="shared" si="2"/>
        <v>-0.01312757395</v>
      </c>
      <c r="G55" s="5">
        <f t="shared" si="3"/>
        <v>-0.4257773924</v>
      </c>
      <c r="H55" s="7">
        <f t="shared" si="4"/>
        <v>-0.01312757395</v>
      </c>
      <c r="I55" s="2" t="str">
        <f t="shared" si="5"/>
        <v>2014-02</v>
      </c>
      <c r="J55" s="2">
        <f t="shared" si="6"/>
        <v>2014</v>
      </c>
      <c r="K55" s="2">
        <f t="shared" si="7"/>
        <v>6</v>
      </c>
      <c r="L55" s="2" t="str">
        <f t="shared" si="8"/>
        <v>Fri</v>
      </c>
    </row>
    <row r="56" ht="15.0" customHeight="1">
      <c r="A56" s="4">
        <v>41692.0</v>
      </c>
      <c r="B56" s="2">
        <v>309217.88</v>
      </c>
      <c r="C56" s="2">
        <v>320116.92</v>
      </c>
      <c r="D56" s="2">
        <v>9772.0</v>
      </c>
      <c r="E56" s="5">
        <f t="shared" si="1"/>
        <v>31.6432542</v>
      </c>
      <c r="F56" s="7">
        <f t="shared" si="2"/>
        <v>-0.0352471209</v>
      </c>
      <c r="G56" s="5">
        <f t="shared" si="3"/>
        <v>-1.115333606</v>
      </c>
      <c r="H56" s="7">
        <f t="shared" si="4"/>
        <v>-0.0352471209</v>
      </c>
      <c r="I56" s="2" t="str">
        <f t="shared" si="5"/>
        <v>2014-02</v>
      </c>
      <c r="J56" s="2">
        <f t="shared" si="6"/>
        <v>2014</v>
      </c>
      <c r="K56" s="2">
        <f t="shared" si="7"/>
        <v>7</v>
      </c>
      <c r="L56" s="2" t="str">
        <f t="shared" si="8"/>
        <v>Sat</v>
      </c>
    </row>
    <row r="57" ht="15.0" customHeight="1">
      <c r="A57" s="4">
        <v>41693.0</v>
      </c>
      <c r="B57" s="2">
        <v>138491.55</v>
      </c>
      <c r="C57" s="2">
        <v>140752.6</v>
      </c>
      <c r="D57" s="2">
        <v>4270.0</v>
      </c>
      <c r="E57" s="5">
        <f t="shared" si="1"/>
        <v>32.43361827</v>
      </c>
      <c r="F57" s="7">
        <f t="shared" si="2"/>
        <v>-0.01632626684</v>
      </c>
      <c r="G57" s="5">
        <f t="shared" si="3"/>
        <v>-0.5295199063</v>
      </c>
      <c r="H57" s="7">
        <f t="shared" si="4"/>
        <v>-0.01632626684</v>
      </c>
      <c r="I57" s="2" t="str">
        <f t="shared" si="5"/>
        <v>2014-02</v>
      </c>
      <c r="J57" s="2">
        <f t="shared" si="6"/>
        <v>2014</v>
      </c>
      <c r="K57" s="2">
        <f t="shared" si="7"/>
        <v>1</v>
      </c>
      <c r="L57" s="2" t="str">
        <f t="shared" si="8"/>
        <v>Sun</v>
      </c>
    </row>
    <row r="58" ht="15.0" customHeight="1">
      <c r="A58" s="4">
        <v>41694.0</v>
      </c>
      <c r="B58" s="2">
        <v>133146.22</v>
      </c>
      <c r="C58" s="2">
        <v>134505.4</v>
      </c>
      <c r="D58" s="2">
        <v>4106.0</v>
      </c>
      <c r="E58" s="5">
        <f t="shared" si="1"/>
        <v>32.42723332</v>
      </c>
      <c r="F58" s="7">
        <f t="shared" si="2"/>
        <v>-0.01020817564</v>
      </c>
      <c r="G58" s="5">
        <f t="shared" si="3"/>
        <v>-0.3310228933</v>
      </c>
      <c r="H58" s="7">
        <f t="shared" si="4"/>
        <v>-0.01020817564</v>
      </c>
      <c r="I58" s="2" t="str">
        <f t="shared" si="5"/>
        <v>2014-02</v>
      </c>
      <c r="J58" s="2">
        <f t="shared" si="6"/>
        <v>2014</v>
      </c>
      <c r="K58" s="2">
        <f t="shared" si="7"/>
        <v>2</v>
      </c>
      <c r="L58" s="2" t="str">
        <f t="shared" si="8"/>
        <v>Mon</v>
      </c>
    </row>
    <row r="59" ht="15.0" customHeight="1">
      <c r="A59" s="4">
        <v>41695.0</v>
      </c>
      <c r="B59" s="2">
        <v>224994.66</v>
      </c>
      <c r="C59" s="2">
        <v>227546.45</v>
      </c>
      <c r="D59" s="2">
        <v>6937.0</v>
      </c>
      <c r="E59" s="5">
        <f t="shared" si="1"/>
        <v>32.43400029</v>
      </c>
      <c r="F59" s="7">
        <f t="shared" si="2"/>
        <v>-0.01134155806</v>
      </c>
      <c r="G59" s="5">
        <f t="shared" si="3"/>
        <v>-0.3678520974</v>
      </c>
      <c r="H59" s="7">
        <f t="shared" si="4"/>
        <v>-0.01134155806</v>
      </c>
      <c r="I59" s="2" t="str">
        <f t="shared" si="5"/>
        <v>2014-02</v>
      </c>
      <c r="J59" s="2">
        <f t="shared" si="6"/>
        <v>2014</v>
      </c>
      <c r="K59" s="2">
        <f t="shared" si="7"/>
        <v>3</v>
      </c>
      <c r="L59" s="2" t="str">
        <f t="shared" si="8"/>
        <v>Tue</v>
      </c>
    </row>
    <row r="60" ht="15.0" customHeight="1">
      <c r="A60" s="4">
        <v>41696.0</v>
      </c>
      <c r="B60" s="2">
        <v>225051.59</v>
      </c>
      <c r="C60" s="2">
        <v>228214.14</v>
      </c>
      <c r="D60" s="2">
        <v>6934.0</v>
      </c>
      <c r="E60" s="5">
        <f t="shared" si="1"/>
        <v>32.45624315</v>
      </c>
      <c r="F60" s="7">
        <f t="shared" si="2"/>
        <v>-0.01405255568</v>
      </c>
      <c r="G60" s="5">
        <f t="shared" si="3"/>
        <v>-0.4560931641</v>
      </c>
      <c r="H60" s="7">
        <f t="shared" si="4"/>
        <v>-0.01405255568</v>
      </c>
      <c r="I60" s="2" t="str">
        <f t="shared" si="5"/>
        <v>2014-02</v>
      </c>
      <c r="J60" s="2">
        <f t="shared" si="6"/>
        <v>2014</v>
      </c>
      <c r="K60" s="2">
        <f t="shared" si="7"/>
        <v>4</v>
      </c>
      <c r="L60" s="2" t="str">
        <f t="shared" si="8"/>
        <v>Wed</v>
      </c>
    </row>
    <row r="61" ht="15.0" customHeight="1">
      <c r="A61" s="4">
        <v>41697.0</v>
      </c>
      <c r="B61" s="2">
        <v>344299.68</v>
      </c>
      <c r="C61" s="2">
        <v>365935.65</v>
      </c>
      <c r="D61" s="2">
        <v>11082.0</v>
      </c>
      <c r="E61" s="5">
        <f t="shared" si="1"/>
        <v>31.06837033</v>
      </c>
      <c r="F61" s="7">
        <f t="shared" si="2"/>
        <v>-0.06284051731</v>
      </c>
      <c r="G61" s="5">
        <f t="shared" si="3"/>
        <v>-1.952352463</v>
      </c>
      <c r="H61" s="7">
        <f t="shared" si="4"/>
        <v>-0.06284051731</v>
      </c>
      <c r="I61" s="2" t="str">
        <f t="shared" si="5"/>
        <v>2014-02</v>
      </c>
      <c r="J61" s="2">
        <f t="shared" si="6"/>
        <v>2014</v>
      </c>
      <c r="K61" s="2">
        <f t="shared" si="7"/>
        <v>5</v>
      </c>
      <c r="L61" s="2" t="str">
        <f t="shared" si="8"/>
        <v>Thu</v>
      </c>
    </row>
    <row r="62" ht="15.0" customHeight="1">
      <c r="A62" s="4">
        <v>41698.0</v>
      </c>
      <c r="B62" s="2">
        <v>661876.5</v>
      </c>
      <c r="C62" s="2">
        <v>686656.79</v>
      </c>
      <c r="D62" s="2">
        <v>20805.0</v>
      </c>
      <c r="E62" s="5">
        <f t="shared" si="1"/>
        <v>31.81333814</v>
      </c>
      <c r="F62" s="7">
        <f t="shared" si="2"/>
        <v>-0.03743944679</v>
      </c>
      <c r="G62" s="5">
        <f t="shared" si="3"/>
        <v>-1.19107378</v>
      </c>
      <c r="H62" s="7">
        <f t="shared" si="4"/>
        <v>-0.03743944679</v>
      </c>
      <c r="I62" s="2" t="str">
        <f t="shared" si="5"/>
        <v>2014-02</v>
      </c>
      <c r="J62" s="2">
        <f t="shared" si="6"/>
        <v>2014</v>
      </c>
      <c r="K62" s="2">
        <f t="shared" si="7"/>
        <v>6</v>
      </c>
      <c r="L62" s="2" t="str">
        <f t="shared" si="8"/>
        <v>Fri</v>
      </c>
    </row>
    <row r="63" ht="15.0" customHeight="1">
      <c r="A63" s="4">
        <v>41699.0</v>
      </c>
      <c r="B63" s="2">
        <v>846678.39</v>
      </c>
      <c r="C63" s="2">
        <v>872081.59</v>
      </c>
      <c r="D63" s="2">
        <v>26410.0</v>
      </c>
      <c r="E63" s="5">
        <f t="shared" si="1"/>
        <v>32.05900757</v>
      </c>
      <c r="F63" s="7">
        <f t="shared" si="2"/>
        <v>-0.03000336409</v>
      </c>
      <c r="G63" s="5">
        <f t="shared" si="3"/>
        <v>-0.9618780765</v>
      </c>
      <c r="H63" s="7">
        <f t="shared" si="4"/>
        <v>-0.03000336409</v>
      </c>
      <c r="I63" s="2" t="str">
        <f t="shared" si="5"/>
        <v>2014-03</v>
      </c>
      <c r="J63" s="2">
        <f t="shared" si="6"/>
        <v>2014</v>
      </c>
      <c r="K63" s="2">
        <f t="shared" si="7"/>
        <v>7</v>
      </c>
      <c r="L63" s="2" t="str">
        <f t="shared" si="8"/>
        <v>Sat</v>
      </c>
    </row>
    <row r="64" ht="15.0" customHeight="1">
      <c r="A64" s="4">
        <v>41700.0</v>
      </c>
      <c r="B64" s="2">
        <v>478902.3</v>
      </c>
      <c r="C64" s="2">
        <v>495554.45</v>
      </c>
      <c r="D64" s="2">
        <v>15004.0</v>
      </c>
      <c r="E64" s="5">
        <f t="shared" si="1"/>
        <v>31.91830845</v>
      </c>
      <c r="F64" s="7">
        <f t="shared" si="2"/>
        <v>-0.03477149723</v>
      </c>
      <c r="G64" s="5">
        <f t="shared" si="3"/>
        <v>-1.109847374</v>
      </c>
      <c r="H64" s="7">
        <f t="shared" si="4"/>
        <v>-0.03477149723</v>
      </c>
      <c r="I64" s="2" t="str">
        <f t="shared" si="5"/>
        <v>2014-03</v>
      </c>
      <c r="J64" s="2">
        <f t="shared" si="6"/>
        <v>2014</v>
      </c>
      <c r="K64" s="2">
        <f t="shared" si="7"/>
        <v>1</v>
      </c>
      <c r="L64" s="2" t="str">
        <f t="shared" si="8"/>
        <v>Sun</v>
      </c>
    </row>
    <row r="65" ht="15.0" customHeight="1">
      <c r="A65" s="4">
        <v>41701.0</v>
      </c>
      <c r="B65" s="2">
        <v>538827.2</v>
      </c>
      <c r="C65" s="2">
        <v>557567.14</v>
      </c>
      <c r="D65" s="2">
        <v>16884.0</v>
      </c>
      <c r="E65" s="5">
        <f t="shared" si="1"/>
        <v>31.91348022</v>
      </c>
      <c r="F65" s="7">
        <f t="shared" si="2"/>
        <v>-0.03477912771</v>
      </c>
      <c r="G65" s="5">
        <f t="shared" si="3"/>
        <v>-1.109923004</v>
      </c>
      <c r="H65" s="7">
        <f t="shared" si="4"/>
        <v>-0.03477912771</v>
      </c>
      <c r="I65" s="2" t="str">
        <f t="shared" si="5"/>
        <v>2014-03</v>
      </c>
      <c r="J65" s="2">
        <f t="shared" si="6"/>
        <v>2014</v>
      </c>
      <c r="K65" s="2">
        <f t="shared" si="7"/>
        <v>2</v>
      </c>
      <c r="L65" s="2" t="str">
        <f t="shared" si="8"/>
        <v>Mon</v>
      </c>
    </row>
    <row r="66" ht="15.0" customHeight="1">
      <c r="A66" s="4">
        <v>41702.0</v>
      </c>
      <c r="B66" s="2">
        <v>310346.12</v>
      </c>
      <c r="C66" s="2">
        <v>323325.03</v>
      </c>
      <c r="D66" s="2">
        <v>9789.0</v>
      </c>
      <c r="E66" s="5">
        <f t="shared" si="1"/>
        <v>31.70355705</v>
      </c>
      <c r="F66" s="7">
        <f t="shared" si="2"/>
        <v>-0.04182075806</v>
      </c>
      <c r="G66" s="5">
        <f t="shared" si="3"/>
        <v>-1.325866789</v>
      </c>
      <c r="H66" s="7">
        <f t="shared" si="4"/>
        <v>-0.04182075806</v>
      </c>
      <c r="I66" s="2" t="str">
        <f t="shared" si="5"/>
        <v>2014-03</v>
      </c>
      <c r="J66" s="2">
        <f t="shared" si="6"/>
        <v>2014</v>
      </c>
      <c r="K66" s="2">
        <f t="shared" si="7"/>
        <v>3</v>
      </c>
      <c r="L66" s="2" t="str">
        <f t="shared" si="8"/>
        <v>Tue</v>
      </c>
    </row>
    <row r="67" ht="15.0" customHeight="1">
      <c r="A67" s="4">
        <v>41703.0</v>
      </c>
      <c r="B67" s="2">
        <v>256390.52</v>
      </c>
      <c r="C67" s="2">
        <v>267308.51</v>
      </c>
      <c r="D67" s="2">
        <v>8079.0</v>
      </c>
      <c r="E67" s="5">
        <f t="shared" si="1"/>
        <v>31.73542765</v>
      </c>
      <c r="F67" s="7">
        <f t="shared" si="2"/>
        <v>-0.04258343873</v>
      </c>
      <c r="G67" s="5">
        <f t="shared" si="3"/>
        <v>-1.351403639</v>
      </c>
      <c r="H67" s="7">
        <f t="shared" si="4"/>
        <v>-0.04258343873</v>
      </c>
      <c r="I67" s="2" t="str">
        <f t="shared" si="5"/>
        <v>2014-03</v>
      </c>
      <c r="J67" s="2">
        <f t="shared" si="6"/>
        <v>2014</v>
      </c>
      <c r="K67" s="2">
        <f t="shared" si="7"/>
        <v>4</v>
      </c>
      <c r="L67" s="2" t="str">
        <f t="shared" si="8"/>
        <v>Wed</v>
      </c>
    </row>
    <row r="68" ht="15.0" customHeight="1">
      <c r="A68" s="4">
        <v>41704.0</v>
      </c>
      <c r="B68" s="2">
        <v>167803.66</v>
      </c>
      <c r="C68" s="2">
        <v>168135.69</v>
      </c>
      <c r="D68" s="2">
        <v>5072.0</v>
      </c>
      <c r="E68" s="5">
        <f t="shared" si="1"/>
        <v>33.08431782</v>
      </c>
      <c r="F68" s="7">
        <f t="shared" si="2"/>
        <v>-0.001978681514</v>
      </c>
      <c r="G68" s="5">
        <f t="shared" si="3"/>
        <v>-0.06546332808</v>
      </c>
      <c r="H68" s="7">
        <f t="shared" si="4"/>
        <v>-0.001978681514</v>
      </c>
      <c r="I68" s="2" t="str">
        <f t="shared" si="5"/>
        <v>2014-03</v>
      </c>
      <c r="J68" s="2">
        <f t="shared" si="6"/>
        <v>2014</v>
      </c>
      <c r="K68" s="2">
        <f t="shared" si="7"/>
        <v>5</v>
      </c>
      <c r="L68" s="2" t="str">
        <f t="shared" si="8"/>
        <v>Thu</v>
      </c>
    </row>
    <row r="69" ht="15.0" customHeight="1">
      <c r="A69" s="4">
        <v>41705.0</v>
      </c>
      <c r="B69" s="2">
        <v>465318.02</v>
      </c>
      <c r="C69" s="2">
        <v>483774.6</v>
      </c>
      <c r="D69" s="2">
        <v>14551.0</v>
      </c>
      <c r="E69" s="5">
        <f t="shared" si="1"/>
        <v>31.9784221</v>
      </c>
      <c r="F69" s="7">
        <f t="shared" si="2"/>
        <v>-0.03966444283</v>
      </c>
      <c r="G69" s="5">
        <f t="shared" si="3"/>
        <v>-1.268406295</v>
      </c>
      <c r="H69" s="7">
        <f t="shared" si="4"/>
        <v>-0.03966444283</v>
      </c>
      <c r="I69" s="2" t="str">
        <f t="shared" si="5"/>
        <v>2014-03</v>
      </c>
      <c r="J69" s="2">
        <f t="shared" si="6"/>
        <v>2014</v>
      </c>
      <c r="K69" s="2">
        <f t="shared" si="7"/>
        <v>6</v>
      </c>
      <c r="L69" s="2" t="str">
        <f t="shared" si="8"/>
        <v>Fri</v>
      </c>
    </row>
    <row r="70" ht="15.0" customHeight="1">
      <c r="A70" s="4">
        <v>41706.0</v>
      </c>
      <c r="B70" s="2">
        <v>520146.75</v>
      </c>
      <c r="C70" s="2">
        <v>541498.96</v>
      </c>
      <c r="D70" s="2">
        <v>16262.0</v>
      </c>
      <c r="E70" s="5">
        <f t="shared" si="1"/>
        <v>31.98541077</v>
      </c>
      <c r="F70" s="7">
        <f t="shared" si="2"/>
        <v>-0.04105035742</v>
      </c>
      <c r="G70" s="5">
        <f t="shared" si="3"/>
        <v>-1.313012545</v>
      </c>
      <c r="H70" s="7">
        <f t="shared" si="4"/>
        <v>-0.04105035742</v>
      </c>
      <c r="I70" s="2" t="str">
        <f t="shared" si="5"/>
        <v>2014-03</v>
      </c>
      <c r="J70" s="2">
        <f t="shared" si="6"/>
        <v>2014</v>
      </c>
      <c r="K70" s="2">
        <f t="shared" si="7"/>
        <v>7</v>
      </c>
      <c r="L70" s="2" t="str">
        <f t="shared" si="8"/>
        <v>Sat</v>
      </c>
    </row>
    <row r="71" ht="15.0" customHeight="1">
      <c r="A71" s="4">
        <v>41707.0</v>
      </c>
      <c r="B71" s="2">
        <v>224699.25</v>
      </c>
      <c r="C71" s="2">
        <v>233589.98</v>
      </c>
      <c r="D71" s="2">
        <v>7014.0</v>
      </c>
      <c r="E71" s="5">
        <f t="shared" si="1"/>
        <v>32.03582121</v>
      </c>
      <c r="F71" s="7">
        <f t="shared" si="2"/>
        <v>-0.03956724377</v>
      </c>
      <c r="G71" s="5">
        <f t="shared" si="3"/>
        <v>-1.267569147</v>
      </c>
      <c r="H71" s="7">
        <f t="shared" si="4"/>
        <v>-0.03956724377</v>
      </c>
      <c r="I71" s="2" t="str">
        <f t="shared" si="5"/>
        <v>2014-03</v>
      </c>
      <c r="J71" s="2">
        <f t="shared" si="6"/>
        <v>2014</v>
      </c>
      <c r="K71" s="2">
        <f t="shared" si="7"/>
        <v>1</v>
      </c>
      <c r="L71" s="2" t="str">
        <f t="shared" si="8"/>
        <v>Sun</v>
      </c>
    </row>
    <row r="72" ht="15.0" customHeight="1">
      <c r="A72" s="4">
        <v>41708.0</v>
      </c>
      <c r="B72" s="2">
        <v>286230.68</v>
      </c>
      <c r="C72" s="2">
        <v>297642.89</v>
      </c>
      <c r="D72" s="2">
        <v>8932.0</v>
      </c>
      <c r="E72" s="5">
        <f t="shared" si="1"/>
        <v>32.04553068</v>
      </c>
      <c r="F72" s="7">
        <f t="shared" si="2"/>
        <v>-0.03987067354</v>
      </c>
      <c r="G72" s="5">
        <f t="shared" si="3"/>
        <v>-1.277676892</v>
      </c>
      <c r="H72" s="7">
        <f t="shared" si="4"/>
        <v>-0.03987067354</v>
      </c>
      <c r="I72" s="2" t="str">
        <f t="shared" si="5"/>
        <v>2014-03</v>
      </c>
      <c r="J72" s="2">
        <f t="shared" si="6"/>
        <v>2014</v>
      </c>
      <c r="K72" s="2">
        <f t="shared" si="7"/>
        <v>2</v>
      </c>
      <c r="L72" s="2" t="str">
        <f t="shared" si="8"/>
        <v>Mon</v>
      </c>
    </row>
    <row r="73" ht="15.0" customHeight="1">
      <c r="A73" s="4">
        <v>41709.0</v>
      </c>
      <c r="B73" s="2">
        <v>187143.02</v>
      </c>
      <c r="C73" s="2">
        <v>191499.04</v>
      </c>
      <c r="D73" s="2">
        <v>5737.0</v>
      </c>
      <c r="E73" s="5">
        <f t="shared" si="1"/>
        <v>32.62036256</v>
      </c>
      <c r="F73" s="7">
        <f t="shared" si="2"/>
        <v>-0.02327642249</v>
      </c>
      <c r="G73" s="5">
        <f t="shared" si="3"/>
        <v>-0.7592853408</v>
      </c>
      <c r="H73" s="7">
        <f t="shared" si="4"/>
        <v>-0.02327642249</v>
      </c>
      <c r="I73" s="2" t="str">
        <f t="shared" si="5"/>
        <v>2014-03</v>
      </c>
      <c r="J73" s="2">
        <f t="shared" si="6"/>
        <v>2014</v>
      </c>
      <c r="K73" s="2">
        <f t="shared" si="7"/>
        <v>3</v>
      </c>
      <c r="L73" s="2" t="str">
        <f t="shared" si="8"/>
        <v>Tue</v>
      </c>
    </row>
    <row r="74" ht="15.0" customHeight="1">
      <c r="A74" s="4">
        <v>41710.0</v>
      </c>
      <c r="B74" s="2">
        <v>191700.39</v>
      </c>
      <c r="C74" s="2">
        <v>197153.42</v>
      </c>
      <c r="D74" s="2">
        <v>5903.0</v>
      </c>
      <c r="E74" s="5">
        <f t="shared" si="1"/>
        <v>32.47507877</v>
      </c>
      <c r="F74" s="7">
        <f t="shared" si="2"/>
        <v>-0.02844558637</v>
      </c>
      <c r="G74" s="5">
        <f t="shared" si="3"/>
        <v>-0.923772658</v>
      </c>
      <c r="H74" s="7">
        <f t="shared" si="4"/>
        <v>-0.02844558637</v>
      </c>
      <c r="I74" s="2" t="str">
        <f t="shared" si="5"/>
        <v>2014-03</v>
      </c>
      <c r="J74" s="2">
        <f t="shared" si="6"/>
        <v>2014</v>
      </c>
      <c r="K74" s="2">
        <f t="shared" si="7"/>
        <v>4</v>
      </c>
      <c r="L74" s="2" t="str">
        <f t="shared" si="8"/>
        <v>Wed</v>
      </c>
    </row>
    <row r="75" ht="15.0" customHeight="1">
      <c r="A75" s="4">
        <v>41711.0</v>
      </c>
      <c r="B75" s="2">
        <v>164663.97</v>
      </c>
      <c r="C75" s="2">
        <v>168975.17</v>
      </c>
      <c r="D75" s="2">
        <v>5056.0</v>
      </c>
      <c r="E75" s="5">
        <f t="shared" si="1"/>
        <v>32.56803204</v>
      </c>
      <c r="F75" s="7">
        <f t="shared" si="2"/>
        <v>-0.02618180529</v>
      </c>
      <c r="G75" s="5">
        <f t="shared" si="3"/>
        <v>-0.8526898734</v>
      </c>
      <c r="H75" s="7">
        <f t="shared" si="4"/>
        <v>-0.02618180529</v>
      </c>
      <c r="I75" s="2" t="str">
        <f t="shared" si="5"/>
        <v>2014-03</v>
      </c>
      <c r="J75" s="2">
        <f t="shared" si="6"/>
        <v>2014</v>
      </c>
      <c r="K75" s="2">
        <f t="shared" si="7"/>
        <v>5</v>
      </c>
      <c r="L75" s="2" t="str">
        <f t="shared" si="8"/>
        <v>Thu</v>
      </c>
    </row>
    <row r="76" ht="15.0" customHeight="1">
      <c r="A76" s="4">
        <v>41712.0</v>
      </c>
      <c r="B76" s="2">
        <v>395941.35</v>
      </c>
      <c r="C76" s="2">
        <v>406765.91</v>
      </c>
      <c r="D76" s="2">
        <v>12167.0</v>
      </c>
      <c r="E76" s="5">
        <f t="shared" si="1"/>
        <v>32.54223309</v>
      </c>
      <c r="F76" s="7">
        <f t="shared" si="2"/>
        <v>-0.02733879652</v>
      </c>
      <c r="G76" s="5">
        <f t="shared" si="3"/>
        <v>-0.8896654886</v>
      </c>
      <c r="H76" s="7">
        <f t="shared" si="4"/>
        <v>-0.02733879652</v>
      </c>
      <c r="I76" s="2" t="str">
        <f t="shared" si="5"/>
        <v>2014-03</v>
      </c>
      <c r="J76" s="2">
        <f t="shared" si="6"/>
        <v>2014</v>
      </c>
      <c r="K76" s="2">
        <f t="shared" si="7"/>
        <v>6</v>
      </c>
      <c r="L76" s="2" t="str">
        <f t="shared" si="8"/>
        <v>Fri</v>
      </c>
    </row>
    <row r="77" ht="15.0" customHeight="1">
      <c r="A77" s="4">
        <v>41713.0</v>
      </c>
      <c r="B77" s="2">
        <v>518183.21</v>
      </c>
      <c r="C77" s="2">
        <v>534383.14</v>
      </c>
      <c r="D77" s="2">
        <v>15971.0</v>
      </c>
      <c r="E77" s="5">
        <f t="shared" si="1"/>
        <v>32.44525765</v>
      </c>
      <c r="F77" s="7">
        <f t="shared" si="2"/>
        <v>-0.03126293884</v>
      </c>
      <c r="G77" s="5">
        <f t="shared" si="3"/>
        <v>-1.014334106</v>
      </c>
      <c r="H77" s="7">
        <f t="shared" si="4"/>
        <v>-0.03126293884</v>
      </c>
      <c r="I77" s="2" t="str">
        <f t="shared" si="5"/>
        <v>2014-03</v>
      </c>
      <c r="J77" s="2">
        <f t="shared" si="6"/>
        <v>2014</v>
      </c>
      <c r="K77" s="2">
        <f t="shared" si="7"/>
        <v>7</v>
      </c>
      <c r="L77" s="2" t="str">
        <f t="shared" si="8"/>
        <v>Sat</v>
      </c>
    </row>
    <row r="78" ht="15.0" customHeight="1">
      <c r="A78" s="4">
        <v>41714.0</v>
      </c>
      <c r="B78" s="2">
        <v>226617.95</v>
      </c>
      <c r="C78" s="2">
        <v>233191.1</v>
      </c>
      <c r="D78" s="2">
        <v>6968.0</v>
      </c>
      <c r="E78" s="5">
        <f t="shared" si="1"/>
        <v>32.52266791</v>
      </c>
      <c r="F78" s="7">
        <f t="shared" si="2"/>
        <v>-0.02900542521</v>
      </c>
      <c r="G78" s="5">
        <f t="shared" si="3"/>
        <v>-0.9433338117</v>
      </c>
      <c r="H78" s="7">
        <f t="shared" si="4"/>
        <v>-0.02900542521</v>
      </c>
      <c r="I78" s="2" t="str">
        <f t="shared" si="5"/>
        <v>2014-03</v>
      </c>
      <c r="J78" s="2">
        <f t="shared" si="6"/>
        <v>2014</v>
      </c>
      <c r="K78" s="2">
        <f t="shared" si="7"/>
        <v>1</v>
      </c>
      <c r="L78" s="2" t="str">
        <f t="shared" si="8"/>
        <v>Sun</v>
      </c>
    </row>
    <row r="79" ht="15.0" customHeight="1">
      <c r="A79" s="4">
        <v>41715.0</v>
      </c>
      <c r="B79" s="2">
        <v>243707.87</v>
      </c>
      <c r="C79" s="2">
        <v>250794.22</v>
      </c>
      <c r="D79" s="2">
        <v>7494.0</v>
      </c>
      <c r="E79" s="5">
        <f t="shared" si="1"/>
        <v>32.52039899</v>
      </c>
      <c r="F79" s="7">
        <f t="shared" si="2"/>
        <v>-0.02907723087</v>
      </c>
      <c r="G79" s="5">
        <f t="shared" si="3"/>
        <v>-0.9456031492</v>
      </c>
      <c r="H79" s="7">
        <f t="shared" si="4"/>
        <v>-0.02907723087</v>
      </c>
      <c r="I79" s="2" t="str">
        <f t="shared" si="5"/>
        <v>2014-03</v>
      </c>
      <c r="J79" s="2">
        <f t="shared" si="6"/>
        <v>2014</v>
      </c>
      <c r="K79" s="2">
        <f t="shared" si="7"/>
        <v>2</v>
      </c>
      <c r="L79" s="2" t="str">
        <f t="shared" si="8"/>
        <v>Mon</v>
      </c>
    </row>
    <row r="80" ht="15.0" customHeight="1">
      <c r="A80" s="4">
        <v>41716.0</v>
      </c>
      <c r="B80" s="2">
        <v>94849.74</v>
      </c>
      <c r="C80" s="2">
        <v>90571.59</v>
      </c>
      <c r="D80" s="2">
        <v>2707.0</v>
      </c>
      <c r="E80" s="5">
        <f t="shared" si="1"/>
        <v>35.03869228</v>
      </c>
      <c r="F80" s="7">
        <f t="shared" si="2"/>
        <v>0.04510449897</v>
      </c>
      <c r="G80" s="5">
        <f t="shared" si="3"/>
        <v>1.58040266</v>
      </c>
      <c r="H80" s="7">
        <f t="shared" si="4"/>
        <v>0.04510449897</v>
      </c>
      <c r="I80" s="2" t="str">
        <f t="shared" si="5"/>
        <v>2014-03</v>
      </c>
      <c r="J80" s="2">
        <f t="shared" si="6"/>
        <v>2014</v>
      </c>
      <c r="K80" s="2">
        <f t="shared" si="7"/>
        <v>3</v>
      </c>
      <c r="L80" s="2" t="str">
        <f t="shared" si="8"/>
        <v>Tue</v>
      </c>
    </row>
    <row r="81" ht="15.0" customHeight="1">
      <c r="A81" s="4">
        <v>41717.0</v>
      </c>
      <c r="B81" s="2">
        <v>92386.78</v>
      </c>
      <c r="C81" s="2">
        <v>88255.84</v>
      </c>
      <c r="D81" s="2">
        <v>2637.0</v>
      </c>
      <c r="E81" s="5">
        <f t="shared" si="1"/>
        <v>35.0348047</v>
      </c>
      <c r="F81" s="7">
        <f t="shared" si="2"/>
        <v>0.04471354018</v>
      </c>
      <c r="G81" s="5">
        <f t="shared" si="3"/>
        <v>1.566530148</v>
      </c>
      <c r="H81" s="7">
        <f t="shared" si="4"/>
        <v>0.04471354018</v>
      </c>
      <c r="I81" s="2" t="str">
        <f t="shared" si="5"/>
        <v>2014-03</v>
      </c>
      <c r="J81" s="2">
        <f t="shared" si="6"/>
        <v>2014</v>
      </c>
      <c r="K81" s="2">
        <f t="shared" si="7"/>
        <v>4</v>
      </c>
      <c r="L81" s="2" t="str">
        <f t="shared" si="8"/>
        <v>Wed</v>
      </c>
    </row>
    <row r="82" ht="15.0" customHeight="1">
      <c r="A82" s="4">
        <v>41718.0</v>
      </c>
      <c r="B82" s="2">
        <v>180394.83</v>
      </c>
      <c r="C82" s="2">
        <v>172344.3</v>
      </c>
      <c r="D82" s="2">
        <v>5149.0</v>
      </c>
      <c r="E82" s="5">
        <f t="shared" si="1"/>
        <v>35.03492523</v>
      </c>
      <c r="F82" s="7">
        <f t="shared" si="2"/>
        <v>0.04462727674</v>
      </c>
      <c r="G82" s="5">
        <f t="shared" si="3"/>
        <v>1.563513304</v>
      </c>
      <c r="H82" s="7">
        <f t="shared" si="4"/>
        <v>0.04462727674</v>
      </c>
      <c r="I82" s="2" t="str">
        <f t="shared" si="5"/>
        <v>2014-03</v>
      </c>
      <c r="J82" s="2">
        <f t="shared" si="6"/>
        <v>2014</v>
      </c>
      <c r="K82" s="2">
        <f t="shared" si="7"/>
        <v>5</v>
      </c>
      <c r="L82" s="2" t="str">
        <f t="shared" si="8"/>
        <v>Thu</v>
      </c>
    </row>
    <row r="83" ht="15.0" customHeight="1">
      <c r="A83" s="4">
        <v>41719.0</v>
      </c>
      <c r="B83" s="2">
        <v>200939.69</v>
      </c>
      <c r="C83" s="2">
        <v>192019.14</v>
      </c>
      <c r="D83" s="2">
        <v>5735.0</v>
      </c>
      <c r="E83" s="5">
        <f t="shared" si="1"/>
        <v>35.03743505</v>
      </c>
      <c r="F83" s="7">
        <f t="shared" si="2"/>
        <v>0.04439416623</v>
      </c>
      <c r="G83" s="5">
        <f t="shared" si="3"/>
        <v>1.555457716</v>
      </c>
      <c r="H83" s="7">
        <f t="shared" si="4"/>
        <v>0.04439416623</v>
      </c>
      <c r="I83" s="2" t="str">
        <f t="shared" si="5"/>
        <v>2014-03</v>
      </c>
      <c r="J83" s="2">
        <f t="shared" si="6"/>
        <v>2014</v>
      </c>
      <c r="K83" s="2">
        <f t="shared" si="7"/>
        <v>6</v>
      </c>
      <c r="L83" s="2" t="str">
        <f t="shared" si="8"/>
        <v>Fri</v>
      </c>
    </row>
    <row r="84" ht="15.0" customHeight="1">
      <c r="A84" s="4">
        <v>41720.0</v>
      </c>
      <c r="B84" s="2">
        <v>172953.92</v>
      </c>
      <c r="C84" s="2">
        <v>165201.31</v>
      </c>
      <c r="D84" s="2">
        <v>4936.0</v>
      </c>
      <c r="E84" s="5">
        <f t="shared" si="1"/>
        <v>35.03928687</v>
      </c>
      <c r="F84" s="7">
        <f t="shared" si="2"/>
        <v>0.044824714</v>
      </c>
      <c r="G84" s="5">
        <f t="shared" si="3"/>
        <v>1.570626013</v>
      </c>
      <c r="H84" s="7">
        <f t="shared" si="4"/>
        <v>0.044824714</v>
      </c>
      <c r="I84" s="2" t="str">
        <f t="shared" si="5"/>
        <v>2014-03</v>
      </c>
      <c r="J84" s="2">
        <f t="shared" si="6"/>
        <v>2014</v>
      </c>
      <c r="K84" s="2">
        <f t="shared" si="7"/>
        <v>7</v>
      </c>
      <c r="L84" s="2" t="str">
        <f t="shared" si="8"/>
        <v>Sat</v>
      </c>
    </row>
    <row r="85" ht="15.0" customHeight="1">
      <c r="A85" s="4">
        <v>41721.0</v>
      </c>
      <c r="B85" s="2">
        <v>70194.8</v>
      </c>
      <c r="C85" s="2">
        <v>67061.62</v>
      </c>
      <c r="D85" s="2">
        <v>2003.0</v>
      </c>
      <c r="E85" s="5">
        <f t="shared" si="1"/>
        <v>35.04483275</v>
      </c>
      <c r="F85" s="7">
        <f t="shared" si="2"/>
        <v>0.04463550007</v>
      </c>
      <c r="G85" s="5">
        <f t="shared" si="3"/>
        <v>1.564243635</v>
      </c>
      <c r="H85" s="7">
        <f t="shared" si="4"/>
        <v>0.04463550007</v>
      </c>
      <c r="I85" s="2" t="str">
        <f t="shared" si="5"/>
        <v>2014-03</v>
      </c>
      <c r="J85" s="2">
        <f t="shared" si="6"/>
        <v>2014</v>
      </c>
      <c r="K85" s="2">
        <f t="shared" si="7"/>
        <v>1</v>
      </c>
      <c r="L85" s="2" t="str">
        <f t="shared" si="8"/>
        <v>Sun</v>
      </c>
    </row>
    <row r="86" ht="15.0" customHeight="1">
      <c r="A86" s="4">
        <v>41722.0</v>
      </c>
      <c r="B86" s="2">
        <v>81378.21</v>
      </c>
      <c r="C86" s="2">
        <v>77703.65</v>
      </c>
      <c r="D86" s="2">
        <v>2323.0</v>
      </c>
      <c r="E86" s="5">
        <f t="shared" si="1"/>
        <v>35.03151528</v>
      </c>
      <c r="F86" s="7">
        <f t="shared" si="2"/>
        <v>0.04515410206</v>
      </c>
      <c r="G86" s="5">
        <f t="shared" si="3"/>
        <v>1.581816616</v>
      </c>
      <c r="H86" s="7">
        <f t="shared" si="4"/>
        <v>0.04515410206</v>
      </c>
      <c r="I86" s="2" t="str">
        <f t="shared" si="5"/>
        <v>2014-03</v>
      </c>
      <c r="J86" s="2">
        <f t="shared" si="6"/>
        <v>2014</v>
      </c>
      <c r="K86" s="2">
        <f t="shared" si="7"/>
        <v>2</v>
      </c>
      <c r="L86" s="2" t="str">
        <f t="shared" si="8"/>
        <v>Mon</v>
      </c>
    </row>
    <row r="87" ht="15.0" customHeight="1">
      <c r="A87" s="4">
        <v>41723.0</v>
      </c>
      <c r="B87" s="2">
        <v>130227.01</v>
      </c>
      <c r="C87" s="2">
        <v>127394.29</v>
      </c>
      <c r="D87" s="2">
        <v>3822.0</v>
      </c>
      <c r="E87" s="5">
        <f t="shared" si="1"/>
        <v>34.07300105</v>
      </c>
      <c r="F87" s="7">
        <f t="shared" si="2"/>
        <v>0.02175216954</v>
      </c>
      <c r="G87" s="5">
        <f t="shared" si="3"/>
        <v>0.7411616954</v>
      </c>
      <c r="H87" s="7">
        <f t="shared" si="4"/>
        <v>0.02175216954</v>
      </c>
      <c r="I87" s="2" t="str">
        <f t="shared" si="5"/>
        <v>2014-03</v>
      </c>
      <c r="J87" s="2">
        <f t="shared" si="6"/>
        <v>2014</v>
      </c>
      <c r="K87" s="2">
        <f t="shared" si="7"/>
        <v>3</v>
      </c>
      <c r="L87" s="2" t="str">
        <f t="shared" si="8"/>
        <v>Tue</v>
      </c>
    </row>
    <row r="88" ht="15.0" customHeight="1">
      <c r="A88" s="4">
        <v>41724.0</v>
      </c>
      <c r="B88" s="2">
        <v>125310.04</v>
      </c>
      <c r="C88" s="2">
        <v>122275.1</v>
      </c>
      <c r="D88" s="2">
        <v>3666.0</v>
      </c>
      <c r="E88" s="5">
        <f t="shared" si="1"/>
        <v>34.18168031</v>
      </c>
      <c r="F88" s="7">
        <f t="shared" si="2"/>
        <v>0.02421944802</v>
      </c>
      <c r="G88" s="5">
        <f t="shared" si="3"/>
        <v>0.8278614294</v>
      </c>
      <c r="H88" s="7">
        <f t="shared" si="4"/>
        <v>0.02421944802</v>
      </c>
      <c r="I88" s="2" t="str">
        <f t="shared" si="5"/>
        <v>2014-03</v>
      </c>
      <c r="J88" s="2">
        <f t="shared" si="6"/>
        <v>2014</v>
      </c>
      <c r="K88" s="2">
        <f t="shared" si="7"/>
        <v>4</v>
      </c>
      <c r="L88" s="2" t="str">
        <f t="shared" si="8"/>
        <v>Wed</v>
      </c>
    </row>
    <row r="89" ht="15.0" customHeight="1">
      <c r="A89" s="4">
        <v>41725.0</v>
      </c>
      <c r="B89" s="2">
        <v>119452.34</v>
      </c>
      <c r="C89" s="2">
        <v>118186.58</v>
      </c>
      <c r="D89" s="2">
        <v>3543.0</v>
      </c>
      <c r="E89" s="5">
        <f t="shared" si="1"/>
        <v>33.71502681</v>
      </c>
      <c r="F89" s="7">
        <f t="shared" si="2"/>
        <v>0.01059636002</v>
      </c>
      <c r="G89" s="5">
        <f t="shared" si="3"/>
        <v>0.3572565622</v>
      </c>
      <c r="H89" s="7">
        <f t="shared" si="4"/>
        <v>0.01059636002</v>
      </c>
      <c r="I89" s="2" t="str">
        <f t="shared" si="5"/>
        <v>2014-03</v>
      </c>
      <c r="J89" s="2">
        <f t="shared" si="6"/>
        <v>2014</v>
      </c>
      <c r="K89" s="2">
        <f t="shared" si="7"/>
        <v>5</v>
      </c>
      <c r="L89" s="2" t="str">
        <f t="shared" si="8"/>
        <v>Thu</v>
      </c>
    </row>
    <row r="90" ht="15.0" customHeight="1">
      <c r="A90" s="4">
        <v>41726.0</v>
      </c>
      <c r="B90" s="2">
        <v>276174.77</v>
      </c>
      <c r="C90" s="2">
        <v>271550.9</v>
      </c>
      <c r="D90" s="2">
        <v>8130.0</v>
      </c>
      <c r="E90" s="5">
        <f t="shared" si="1"/>
        <v>33.96983641</v>
      </c>
      <c r="F90" s="7">
        <f t="shared" si="2"/>
        <v>0.01674255038</v>
      </c>
      <c r="G90" s="5">
        <f t="shared" si="3"/>
        <v>0.5687416974</v>
      </c>
      <c r="H90" s="7">
        <f t="shared" si="4"/>
        <v>0.01674255038</v>
      </c>
      <c r="I90" s="2" t="str">
        <f t="shared" si="5"/>
        <v>2014-03</v>
      </c>
      <c r="J90" s="2">
        <f t="shared" si="6"/>
        <v>2014</v>
      </c>
      <c r="K90" s="2">
        <f t="shared" si="7"/>
        <v>6</v>
      </c>
      <c r="L90" s="2" t="str">
        <f t="shared" si="8"/>
        <v>Fri</v>
      </c>
    </row>
    <row r="91" ht="15.0" customHeight="1">
      <c r="A91" s="4">
        <v>41727.0</v>
      </c>
      <c r="B91" s="2">
        <v>357369.27</v>
      </c>
      <c r="C91" s="2">
        <v>352250.83</v>
      </c>
      <c r="D91" s="2">
        <v>10518.0</v>
      </c>
      <c r="E91" s="5">
        <f t="shared" si="1"/>
        <v>33.97692242</v>
      </c>
      <c r="F91" s="7">
        <f t="shared" si="2"/>
        <v>0.01432255213</v>
      </c>
      <c r="G91" s="5">
        <f t="shared" si="3"/>
        <v>0.4866362426</v>
      </c>
      <c r="H91" s="7">
        <f t="shared" si="4"/>
        <v>0.01432255213</v>
      </c>
      <c r="I91" s="2" t="str">
        <f t="shared" si="5"/>
        <v>2014-03</v>
      </c>
      <c r="J91" s="2">
        <f t="shared" si="6"/>
        <v>2014</v>
      </c>
      <c r="K91" s="2">
        <f t="shared" si="7"/>
        <v>7</v>
      </c>
      <c r="L91" s="2" t="str">
        <f t="shared" si="8"/>
        <v>Sat</v>
      </c>
    </row>
    <row r="92" ht="15.0" customHeight="1">
      <c r="A92" s="4">
        <v>41728.0</v>
      </c>
      <c r="B92" s="2">
        <v>163865.49</v>
      </c>
      <c r="C92" s="2">
        <v>160525.43</v>
      </c>
      <c r="D92" s="2">
        <v>4791.0</v>
      </c>
      <c r="E92" s="5">
        <f t="shared" si="1"/>
        <v>34.20277395</v>
      </c>
      <c r="F92" s="7">
        <f t="shared" si="2"/>
        <v>0.02038293725</v>
      </c>
      <c r="G92" s="5">
        <f t="shared" si="3"/>
        <v>0.6971529952</v>
      </c>
      <c r="H92" s="7">
        <f t="shared" si="4"/>
        <v>0.02038293725</v>
      </c>
      <c r="I92" s="2" t="str">
        <f t="shared" si="5"/>
        <v>2014-03</v>
      </c>
      <c r="J92" s="2">
        <f t="shared" si="6"/>
        <v>2014</v>
      </c>
      <c r="K92" s="2">
        <f t="shared" si="7"/>
        <v>1</v>
      </c>
      <c r="L92" s="2" t="str">
        <f t="shared" si="8"/>
        <v>Sun</v>
      </c>
    </row>
    <row r="93" ht="15.0" customHeight="1">
      <c r="A93" s="4">
        <v>41729.0</v>
      </c>
      <c r="B93" s="2">
        <v>190719.61</v>
      </c>
      <c r="C93" s="2">
        <v>187072.6</v>
      </c>
      <c r="D93" s="2">
        <v>5583.0</v>
      </c>
      <c r="E93" s="5">
        <f t="shared" si="1"/>
        <v>34.16077557</v>
      </c>
      <c r="F93" s="7">
        <f t="shared" si="2"/>
        <v>0.01912236503</v>
      </c>
      <c r="G93" s="5">
        <f t="shared" si="3"/>
        <v>0.65323482</v>
      </c>
      <c r="H93" s="7">
        <f t="shared" si="4"/>
        <v>0.01912236503</v>
      </c>
      <c r="I93" s="2" t="str">
        <f t="shared" si="5"/>
        <v>2014-03</v>
      </c>
      <c r="J93" s="2">
        <f t="shared" si="6"/>
        <v>2014</v>
      </c>
      <c r="K93" s="2">
        <f t="shared" si="7"/>
        <v>2</v>
      </c>
      <c r="L93" s="2" t="str">
        <f t="shared" si="8"/>
        <v>Mon</v>
      </c>
    </row>
    <row r="94" ht="15.0" customHeight="1">
      <c r="A94" s="4">
        <v>41730.0</v>
      </c>
      <c r="B94" s="2">
        <v>244535.21</v>
      </c>
      <c r="C94" s="2">
        <v>239700.68</v>
      </c>
      <c r="D94" s="2">
        <v>7155.0</v>
      </c>
      <c r="E94" s="5">
        <f t="shared" si="1"/>
        <v>34.17682879</v>
      </c>
      <c r="F94" s="7">
        <f t="shared" si="2"/>
        <v>0.01977028175</v>
      </c>
      <c r="G94" s="5">
        <f t="shared" si="3"/>
        <v>0.6756855346</v>
      </c>
      <c r="H94" s="7">
        <f t="shared" si="4"/>
        <v>0.01977028175</v>
      </c>
      <c r="I94" s="2" t="str">
        <f t="shared" si="5"/>
        <v>2014-04</v>
      </c>
      <c r="J94" s="2">
        <f t="shared" si="6"/>
        <v>2014</v>
      </c>
      <c r="K94" s="2">
        <f t="shared" si="7"/>
        <v>3</v>
      </c>
      <c r="L94" s="2" t="str">
        <f t="shared" si="8"/>
        <v>Tue</v>
      </c>
    </row>
    <row r="95" ht="15.0" customHeight="1">
      <c r="A95" s="4">
        <v>41731.0</v>
      </c>
      <c r="B95" s="2">
        <v>155620.5</v>
      </c>
      <c r="C95" s="2">
        <v>153366.02</v>
      </c>
      <c r="D95" s="2">
        <v>4575.0</v>
      </c>
      <c r="E95" s="5">
        <f t="shared" si="1"/>
        <v>34.01540984</v>
      </c>
      <c r="F95" s="7">
        <f t="shared" si="2"/>
        <v>0.01448703738</v>
      </c>
      <c r="G95" s="5">
        <f t="shared" si="3"/>
        <v>0.4927825137</v>
      </c>
      <c r="H95" s="7">
        <f t="shared" si="4"/>
        <v>0.01448703738</v>
      </c>
      <c r="I95" s="2" t="str">
        <f t="shared" si="5"/>
        <v>2014-04</v>
      </c>
      <c r="J95" s="2">
        <f t="shared" si="6"/>
        <v>2014</v>
      </c>
      <c r="K95" s="2">
        <f t="shared" si="7"/>
        <v>4</v>
      </c>
      <c r="L95" s="2" t="str">
        <f t="shared" si="8"/>
        <v>Wed</v>
      </c>
    </row>
    <row r="96" ht="15.0" customHeight="1">
      <c r="A96" s="4">
        <v>41732.0</v>
      </c>
      <c r="B96" s="2">
        <v>136001.98</v>
      </c>
      <c r="C96" s="2">
        <v>134523.07</v>
      </c>
      <c r="D96" s="2">
        <v>3997.0</v>
      </c>
      <c r="E96" s="5">
        <f t="shared" si="1"/>
        <v>34.02601451</v>
      </c>
      <c r="F96" s="7">
        <f t="shared" si="2"/>
        <v>0.01087417992</v>
      </c>
      <c r="G96" s="5">
        <f t="shared" si="3"/>
        <v>0.3700050038</v>
      </c>
      <c r="H96" s="7">
        <f t="shared" si="4"/>
        <v>0.01087417992</v>
      </c>
      <c r="I96" s="2" t="str">
        <f t="shared" si="5"/>
        <v>2014-04</v>
      </c>
      <c r="J96" s="2">
        <f t="shared" si="6"/>
        <v>2014</v>
      </c>
      <c r="K96" s="2">
        <f t="shared" si="7"/>
        <v>5</v>
      </c>
      <c r="L96" s="2" t="str">
        <f t="shared" si="8"/>
        <v>Thu</v>
      </c>
    </row>
    <row r="97" ht="15.0" customHeight="1">
      <c r="A97" s="4">
        <v>41733.0</v>
      </c>
      <c r="B97" s="2">
        <v>190559.89</v>
      </c>
      <c r="C97" s="2">
        <v>187742.3</v>
      </c>
      <c r="D97" s="2">
        <v>5558.0</v>
      </c>
      <c r="E97" s="5">
        <f t="shared" si="1"/>
        <v>34.28569449</v>
      </c>
      <c r="F97" s="7">
        <f t="shared" si="2"/>
        <v>0.01478585026</v>
      </c>
      <c r="G97" s="5">
        <f t="shared" si="3"/>
        <v>0.506943145</v>
      </c>
      <c r="H97" s="7">
        <f t="shared" si="4"/>
        <v>0.01478585026</v>
      </c>
      <c r="I97" s="2" t="str">
        <f t="shared" si="5"/>
        <v>2014-04</v>
      </c>
      <c r="J97" s="2">
        <f t="shared" si="6"/>
        <v>2014</v>
      </c>
      <c r="K97" s="2">
        <f t="shared" si="7"/>
        <v>6</v>
      </c>
      <c r="L97" s="2" t="str">
        <f t="shared" si="8"/>
        <v>Fri</v>
      </c>
    </row>
    <row r="98" ht="15.0" customHeight="1">
      <c r="A98" s="4">
        <v>41734.0</v>
      </c>
      <c r="B98" s="2">
        <v>217110.5</v>
      </c>
      <c r="C98" s="2">
        <v>213540.73</v>
      </c>
      <c r="D98" s="2">
        <v>6320.0</v>
      </c>
      <c r="E98" s="5">
        <f t="shared" si="1"/>
        <v>34.35292722</v>
      </c>
      <c r="F98" s="7">
        <f t="shared" si="2"/>
        <v>0.01644218036</v>
      </c>
      <c r="G98" s="5">
        <f t="shared" si="3"/>
        <v>0.5648370253</v>
      </c>
      <c r="H98" s="7">
        <f t="shared" si="4"/>
        <v>0.01644218036</v>
      </c>
      <c r="I98" s="2" t="str">
        <f t="shared" si="5"/>
        <v>2014-04</v>
      </c>
      <c r="J98" s="2">
        <f t="shared" si="6"/>
        <v>2014</v>
      </c>
      <c r="K98" s="2">
        <f t="shared" si="7"/>
        <v>7</v>
      </c>
      <c r="L98" s="2" t="str">
        <f t="shared" si="8"/>
        <v>Sat</v>
      </c>
    </row>
    <row r="99" ht="15.0" customHeight="1">
      <c r="A99" s="4">
        <v>41735.0</v>
      </c>
      <c r="B99" s="2">
        <v>119190.1</v>
      </c>
      <c r="C99" s="2">
        <v>116856.31</v>
      </c>
      <c r="D99" s="2">
        <v>3447.0</v>
      </c>
      <c r="E99" s="5">
        <f t="shared" si="1"/>
        <v>34.57792283</v>
      </c>
      <c r="F99" s="7">
        <f t="shared" si="2"/>
        <v>0.01958040139</v>
      </c>
      <c r="G99" s="5">
        <f t="shared" si="3"/>
        <v>0.6770496084</v>
      </c>
      <c r="H99" s="7">
        <f t="shared" si="4"/>
        <v>0.01958040139</v>
      </c>
      <c r="I99" s="2" t="str">
        <f t="shared" si="5"/>
        <v>2014-04</v>
      </c>
      <c r="J99" s="2">
        <f t="shared" si="6"/>
        <v>2014</v>
      </c>
      <c r="K99" s="2">
        <f t="shared" si="7"/>
        <v>1</v>
      </c>
      <c r="L99" s="2" t="str">
        <f t="shared" si="8"/>
        <v>Sun</v>
      </c>
    </row>
    <row r="100" ht="15.0" customHeight="1">
      <c r="A100" s="4">
        <v>41736.0</v>
      </c>
      <c r="B100" s="2">
        <v>131910.2</v>
      </c>
      <c r="C100" s="2">
        <v>130784.44</v>
      </c>
      <c r="D100" s="2">
        <v>3854.0</v>
      </c>
      <c r="E100" s="5">
        <f t="shared" si="1"/>
        <v>34.22682927</v>
      </c>
      <c r="F100" s="7">
        <f t="shared" si="2"/>
        <v>0.008534290752</v>
      </c>
      <c r="G100" s="5">
        <f t="shared" si="3"/>
        <v>0.2921017125</v>
      </c>
      <c r="H100" s="7">
        <f t="shared" si="4"/>
        <v>0.008534290752</v>
      </c>
      <c r="I100" s="2" t="str">
        <f t="shared" si="5"/>
        <v>2014-04</v>
      </c>
      <c r="J100" s="2">
        <f t="shared" si="6"/>
        <v>2014</v>
      </c>
      <c r="K100" s="2">
        <f t="shared" si="7"/>
        <v>2</v>
      </c>
      <c r="L100" s="2" t="str">
        <f t="shared" si="8"/>
        <v>Mon</v>
      </c>
    </row>
    <row r="101" ht="15.0" customHeight="1">
      <c r="A101" s="4">
        <v>41737.0</v>
      </c>
      <c r="B101" s="2">
        <v>118921.31</v>
      </c>
      <c r="C101" s="2">
        <v>115305.81</v>
      </c>
      <c r="D101" s="2">
        <v>3394.0</v>
      </c>
      <c r="E101" s="5">
        <f t="shared" si="1"/>
        <v>35.03868886</v>
      </c>
      <c r="F101" s="7">
        <f t="shared" si="2"/>
        <v>0.03040245689</v>
      </c>
      <c r="G101" s="5">
        <f t="shared" si="3"/>
        <v>1.065262227</v>
      </c>
      <c r="H101" s="7">
        <f t="shared" si="4"/>
        <v>0.03040245689</v>
      </c>
      <c r="I101" s="2" t="str">
        <f t="shared" si="5"/>
        <v>2014-04</v>
      </c>
      <c r="J101" s="2">
        <f t="shared" si="6"/>
        <v>2014</v>
      </c>
      <c r="K101" s="2">
        <f t="shared" si="7"/>
        <v>3</v>
      </c>
      <c r="L101" s="2" t="str">
        <f t="shared" si="8"/>
        <v>Tue</v>
      </c>
    </row>
    <row r="102" ht="15.0" customHeight="1">
      <c r="A102" s="4">
        <v>41738.0</v>
      </c>
      <c r="B102" s="2">
        <v>124828.28</v>
      </c>
      <c r="C102" s="2">
        <v>121264.7</v>
      </c>
      <c r="D102" s="2">
        <v>3563.0</v>
      </c>
      <c r="E102" s="5">
        <f t="shared" si="1"/>
        <v>35.03460006</v>
      </c>
      <c r="F102" s="7">
        <f t="shared" si="2"/>
        <v>0.02854785791</v>
      </c>
      <c r="G102" s="5">
        <f t="shared" si="3"/>
        <v>1.000162784</v>
      </c>
      <c r="H102" s="7">
        <f t="shared" si="4"/>
        <v>0.02854785791</v>
      </c>
      <c r="I102" s="2" t="str">
        <f t="shared" si="5"/>
        <v>2014-04</v>
      </c>
      <c r="J102" s="2">
        <f t="shared" si="6"/>
        <v>2014</v>
      </c>
      <c r="K102" s="2">
        <f t="shared" si="7"/>
        <v>4</v>
      </c>
      <c r="L102" s="2" t="str">
        <f t="shared" si="8"/>
        <v>Wed</v>
      </c>
    </row>
    <row r="103" ht="15.0" customHeight="1">
      <c r="A103" s="4">
        <v>41739.0</v>
      </c>
      <c r="B103" s="2">
        <v>179326.49</v>
      </c>
      <c r="C103" s="2">
        <v>183278.5</v>
      </c>
      <c r="D103" s="2">
        <v>5380.0</v>
      </c>
      <c r="E103" s="5">
        <f t="shared" si="1"/>
        <v>33.33206134</v>
      </c>
      <c r="F103" s="7">
        <f t="shared" si="2"/>
        <v>-0.02203807145</v>
      </c>
      <c r="G103" s="5">
        <f t="shared" si="3"/>
        <v>-0.7345743494</v>
      </c>
      <c r="H103" s="7">
        <f t="shared" si="4"/>
        <v>-0.02203807145</v>
      </c>
      <c r="I103" s="2" t="str">
        <f t="shared" si="5"/>
        <v>2014-04</v>
      </c>
      <c r="J103" s="2">
        <f t="shared" si="6"/>
        <v>2014</v>
      </c>
      <c r="K103" s="2">
        <f t="shared" si="7"/>
        <v>5</v>
      </c>
      <c r="L103" s="2" t="str">
        <f t="shared" si="8"/>
        <v>Thu</v>
      </c>
    </row>
    <row r="104" ht="15.0" customHeight="1">
      <c r="A104" s="4">
        <v>41740.0</v>
      </c>
      <c r="B104" s="2">
        <v>318949.82</v>
      </c>
      <c r="C104" s="2">
        <v>326322.53</v>
      </c>
      <c r="D104" s="2">
        <v>9573.0</v>
      </c>
      <c r="E104" s="5">
        <f t="shared" si="1"/>
        <v>33.31764546</v>
      </c>
      <c r="F104" s="7">
        <f t="shared" si="2"/>
        <v>-0.02311557975</v>
      </c>
      <c r="G104" s="5">
        <f t="shared" si="3"/>
        <v>-0.7701566907</v>
      </c>
      <c r="H104" s="7">
        <f t="shared" si="4"/>
        <v>-0.02311557975</v>
      </c>
      <c r="I104" s="2" t="str">
        <f t="shared" si="5"/>
        <v>2014-04</v>
      </c>
      <c r="J104" s="2">
        <f t="shared" si="6"/>
        <v>2014</v>
      </c>
      <c r="K104" s="2">
        <f t="shared" si="7"/>
        <v>6</v>
      </c>
      <c r="L104" s="2" t="str">
        <f t="shared" si="8"/>
        <v>Fri</v>
      </c>
    </row>
    <row r="105" ht="15.0" customHeight="1">
      <c r="A105" s="4">
        <v>41741.0</v>
      </c>
      <c r="B105" s="2">
        <v>375031.11</v>
      </c>
      <c r="C105" s="2">
        <v>383727.19</v>
      </c>
      <c r="D105" s="2">
        <v>11250.0</v>
      </c>
      <c r="E105" s="5">
        <f t="shared" si="1"/>
        <v>33.33609867</v>
      </c>
      <c r="F105" s="7">
        <f t="shared" si="2"/>
        <v>-0.02318762302</v>
      </c>
      <c r="G105" s="5">
        <f t="shared" si="3"/>
        <v>-0.7729848889</v>
      </c>
      <c r="H105" s="7">
        <f t="shared" si="4"/>
        <v>-0.02318762302</v>
      </c>
      <c r="I105" s="2" t="str">
        <f t="shared" si="5"/>
        <v>2014-04</v>
      </c>
      <c r="J105" s="2">
        <f t="shared" si="6"/>
        <v>2014</v>
      </c>
      <c r="K105" s="2">
        <f t="shared" si="7"/>
        <v>7</v>
      </c>
      <c r="L105" s="2" t="str">
        <f t="shared" si="8"/>
        <v>Sat</v>
      </c>
    </row>
    <row r="106" ht="15.0" customHeight="1">
      <c r="A106" s="4">
        <v>41742.0</v>
      </c>
      <c r="B106" s="2">
        <v>166393.54</v>
      </c>
      <c r="C106" s="2">
        <v>170061.86</v>
      </c>
      <c r="D106" s="2">
        <v>4990.0</v>
      </c>
      <c r="E106" s="5">
        <f t="shared" si="1"/>
        <v>33.3453988</v>
      </c>
      <c r="F106" s="7">
        <f t="shared" si="2"/>
        <v>-0.02204604818</v>
      </c>
      <c r="G106" s="5">
        <f t="shared" si="3"/>
        <v>-0.7351342685</v>
      </c>
      <c r="H106" s="7">
        <f t="shared" si="4"/>
        <v>-0.02204604818</v>
      </c>
      <c r="I106" s="2" t="str">
        <f t="shared" si="5"/>
        <v>2014-04</v>
      </c>
      <c r="J106" s="2">
        <f t="shared" si="6"/>
        <v>2014</v>
      </c>
      <c r="K106" s="2">
        <f t="shared" si="7"/>
        <v>1</v>
      </c>
      <c r="L106" s="2" t="str">
        <f t="shared" si="8"/>
        <v>Sun</v>
      </c>
    </row>
    <row r="107" ht="15.0" customHeight="1">
      <c r="A107" s="4">
        <v>41743.0</v>
      </c>
      <c r="B107" s="2">
        <v>193652.33</v>
      </c>
      <c r="C107" s="2">
        <v>198212.07</v>
      </c>
      <c r="D107" s="2">
        <v>5810.0</v>
      </c>
      <c r="E107" s="5">
        <f t="shared" si="1"/>
        <v>33.33086575</v>
      </c>
      <c r="F107" s="7">
        <f t="shared" si="2"/>
        <v>-0.02354601156</v>
      </c>
      <c r="G107" s="5">
        <f t="shared" si="3"/>
        <v>-0.7848089501</v>
      </c>
      <c r="H107" s="7">
        <f t="shared" si="4"/>
        <v>-0.02354601156</v>
      </c>
      <c r="I107" s="2" t="str">
        <f t="shared" si="5"/>
        <v>2014-04</v>
      </c>
      <c r="J107" s="2">
        <f t="shared" si="6"/>
        <v>2014</v>
      </c>
      <c r="K107" s="2">
        <f t="shared" si="7"/>
        <v>2</v>
      </c>
      <c r="L107" s="2" t="str">
        <f t="shared" si="8"/>
        <v>Mon</v>
      </c>
    </row>
    <row r="108" ht="15.0" customHeight="1">
      <c r="A108" s="4">
        <v>41744.0</v>
      </c>
      <c r="B108" s="2">
        <v>249805.52</v>
      </c>
      <c r="C108" s="2">
        <v>255956.65</v>
      </c>
      <c r="D108" s="2">
        <v>7497.0</v>
      </c>
      <c r="E108" s="5">
        <f t="shared" si="1"/>
        <v>33.32073096</v>
      </c>
      <c r="F108" s="7">
        <f t="shared" si="2"/>
        <v>-0.02462367525</v>
      </c>
      <c r="G108" s="5">
        <f t="shared" si="3"/>
        <v>-0.8204788582</v>
      </c>
      <c r="H108" s="7">
        <f t="shared" si="4"/>
        <v>-0.02462367525</v>
      </c>
      <c r="I108" s="2" t="str">
        <f t="shared" si="5"/>
        <v>2014-04</v>
      </c>
      <c r="J108" s="2">
        <f t="shared" si="6"/>
        <v>2014</v>
      </c>
      <c r="K108" s="2">
        <f t="shared" si="7"/>
        <v>3</v>
      </c>
      <c r="L108" s="2" t="str">
        <f t="shared" si="8"/>
        <v>Tue</v>
      </c>
    </row>
    <row r="109" ht="15.0" customHeight="1">
      <c r="A109" s="4">
        <v>41745.0</v>
      </c>
      <c r="B109" s="2">
        <v>294023.41</v>
      </c>
      <c r="C109" s="2">
        <v>301522.35</v>
      </c>
      <c r="D109" s="2">
        <v>8821.0</v>
      </c>
      <c r="E109" s="5">
        <f t="shared" si="1"/>
        <v>33.33220837</v>
      </c>
      <c r="F109" s="7">
        <f t="shared" si="2"/>
        <v>-0.02550456782</v>
      </c>
      <c r="G109" s="5">
        <f t="shared" si="3"/>
        <v>-0.8501235688</v>
      </c>
      <c r="H109" s="7">
        <f t="shared" si="4"/>
        <v>-0.02550456782</v>
      </c>
      <c r="I109" s="2" t="str">
        <f t="shared" si="5"/>
        <v>2014-04</v>
      </c>
      <c r="J109" s="2">
        <f t="shared" si="6"/>
        <v>2014</v>
      </c>
      <c r="K109" s="2">
        <f t="shared" si="7"/>
        <v>4</v>
      </c>
      <c r="L109" s="2" t="str">
        <f t="shared" si="8"/>
        <v>Wed</v>
      </c>
    </row>
    <row r="110" ht="15.0" customHeight="1">
      <c r="A110" s="4">
        <v>41746.0</v>
      </c>
      <c r="B110" s="2">
        <v>612236.01</v>
      </c>
      <c r="C110" s="2">
        <v>627927.76</v>
      </c>
      <c r="D110" s="2">
        <v>18366.0</v>
      </c>
      <c r="E110" s="5">
        <f t="shared" si="1"/>
        <v>33.33529402</v>
      </c>
      <c r="F110" s="7">
        <f t="shared" si="2"/>
        <v>-0.02563023041</v>
      </c>
      <c r="G110" s="5">
        <f t="shared" si="3"/>
        <v>-0.8543912665</v>
      </c>
      <c r="H110" s="7">
        <f t="shared" si="4"/>
        <v>-0.02563023041</v>
      </c>
      <c r="I110" s="2" t="str">
        <f t="shared" si="5"/>
        <v>2014-04</v>
      </c>
      <c r="J110" s="2">
        <f t="shared" si="6"/>
        <v>2014</v>
      </c>
      <c r="K110" s="2">
        <f t="shared" si="7"/>
        <v>5</v>
      </c>
      <c r="L110" s="2" t="str">
        <f t="shared" si="8"/>
        <v>Thu</v>
      </c>
    </row>
    <row r="111" ht="15.0" customHeight="1">
      <c r="A111" s="4">
        <v>41747.0</v>
      </c>
      <c r="B111" s="2">
        <v>464815.52</v>
      </c>
      <c r="C111" s="2">
        <v>476692.54</v>
      </c>
      <c r="D111" s="2">
        <v>13940.0</v>
      </c>
      <c r="E111" s="5">
        <f t="shared" si="1"/>
        <v>33.34401148</v>
      </c>
      <c r="F111" s="7">
        <f t="shared" si="2"/>
        <v>-0.02555211582</v>
      </c>
      <c r="G111" s="5">
        <f t="shared" si="3"/>
        <v>-0.852010043</v>
      </c>
      <c r="H111" s="7">
        <f t="shared" si="4"/>
        <v>-0.02555211582</v>
      </c>
      <c r="I111" s="2" t="str">
        <f t="shared" si="5"/>
        <v>2014-04</v>
      </c>
      <c r="J111" s="2">
        <f t="shared" si="6"/>
        <v>2014</v>
      </c>
      <c r="K111" s="2">
        <f t="shared" si="7"/>
        <v>6</v>
      </c>
      <c r="L111" s="2" t="str">
        <f t="shared" si="8"/>
        <v>Fri</v>
      </c>
    </row>
    <row r="112" ht="15.0" customHeight="1">
      <c r="A112" s="4">
        <v>41748.0</v>
      </c>
      <c r="B112" s="2">
        <v>360480.94</v>
      </c>
      <c r="C112" s="2">
        <v>369765.61</v>
      </c>
      <c r="D112" s="2">
        <v>10814.0</v>
      </c>
      <c r="E112" s="5">
        <f t="shared" si="1"/>
        <v>33.33465323</v>
      </c>
      <c r="F112" s="7">
        <f t="shared" si="2"/>
        <v>-0.02575634096</v>
      </c>
      <c r="G112" s="5">
        <f t="shared" si="3"/>
        <v>-0.8585786943</v>
      </c>
      <c r="H112" s="7">
        <f t="shared" si="4"/>
        <v>-0.02575634096</v>
      </c>
      <c r="I112" s="2" t="str">
        <f t="shared" si="5"/>
        <v>2014-04</v>
      </c>
      <c r="J112" s="2">
        <f t="shared" si="6"/>
        <v>2014</v>
      </c>
      <c r="K112" s="2">
        <f t="shared" si="7"/>
        <v>7</v>
      </c>
      <c r="L112" s="2" t="str">
        <f t="shared" si="8"/>
        <v>Sat</v>
      </c>
    </row>
    <row r="113" ht="15.0" customHeight="1">
      <c r="A113" s="4">
        <v>41749.0</v>
      </c>
      <c r="B113" s="2">
        <v>114279.58</v>
      </c>
      <c r="C113" s="2">
        <v>117190.83</v>
      </c>
      <c r="D113" s="2">
        <v>3429.0</v>
      </c>
      <c r="E113" s="5">
        <f t="shared" si="1"/>
        <v>33.32737824</v>
      </c>
      <c r="F113" s="7">
        <f t="shared" si="2"/>
        <v>-0.02547480486</v>
      </c>
      <c r="G113" s="5">
        <f t="shared" si="3"/>
        <v>-0.8490084573</v>
      </c>
      <c r="H113" s="7">
        <f t="shared" si="4"/>
        <v>-0.02547480486</v>
      </c>
      <c r="I113" s="2" t="str">
        <f t="shared" si="5"/>
        <v>2014-04</v>
      </c>
      <c r="J113" s="2">
        <f t="shared" si="6"/>
        <v>2014</v>
      </c>
      <c r="K113" s="2">
        <f t="shared" si="7"/>
        <v>1</v>
      </c>
      <c r="L113" s="2" t="str">
        <f t="shared" si="8"/>
        <v>Sun</v>
      </c>
    </row>
    <row r="114" ht="15.0" customHeight="1">
      <c r="A114" s="4">
        <v>41750.0</v>
      </c>
      <c r="B114" s="2">
        <v>161170.82</v>
      </c>
      <c r="C114" s="2">
        <v>165415.08</v>
      </c>
      <c r="D114" s="2">
        <v>4834.0</v>
      </c>
      <c r="E114" s="5">
        <f t="shared" si="1"/>
        <v>33.34108813</v>
      </c>
      <c r="F114" s="7">
        <f t="shared" si="2"/>
        <v>-0.02633392323</v>
      </c>
      <c r="G114" s="5">
        <f t="shared" si="3"/>
        <v>-0.8780016549</v>
      </c>
      <c r="H114" s="7">
        <f t="shared" si="4"/>
        <v>-0.02633392323</v>
      </c>
      <c r="I114" s="2" t="str">
        <f t="shared" si="5"/>
        <v>2014-04</v>
      </c>
      <c r="J114" s="2">
        <f t="shared" si="6"/>
        <v>2014</v>
      </c>
      <c r="K114" s="2">
        <f t="shared" si="7"/>
        <v>2</v>
      </c>
      <c r="L114" s="2" t="str">
        <f t="shared" si="8"/>
        <v>Mon</v>
      </c>
    </row>
    <row r="115" ht="15.0" customHeight="1">
      <c r="A115" s="4">
        <v>41751.0</v>
      </c>
      <c r="B115" s="2">
        <v>182483.15</v>
      </c>
      <c r="C115" s="2">
        <v>187344.74</v>
      </c>
      <c r="D115" s="2">
        <v>5475.0</v>
      </c>
      <c r="E115" s="5">
        <f t="shared" si="1"/>
        <v>33.33025571</v>
      </c>
      <c r="F115" s="7">
        <f t="shared" si="2"/>
        <v>-0.02664130907</v>
      </c>
      <c r="G115" s="5">
        <f t="shared" si="3"/>
        <v>-0.8879616438</v>
      </c>
      <c r="H115" s="7">
        <f t="shared" si="4"/>
        <v>-0.02664130907</v>
      </c>
      <c r="I115" s="2" t="str">
        <f t="shared" si="5"/>
        <v>2014-04</v>
      </c>
      <c r="J115" s="2">
        <f t="shared" si="6"/>
        <v>2014</v>
      </c>
      <c r="K115" s="2">
        <f t="shared" si="7"/>
        <v>3</v>
      </c>
      <c r="L115" s="2" t="str">
        <f t="shared" si="8"/>
        <v>Tue</v>
      </c>
    </row>
    <row r="116" ht="15.0" customHeight="1">
      <c r="A116" s="4">
        <v>41752.0</v>
      </c>
      <c r="B116" s="2">
        <v>109358.41</v>
      </c>
      <c r="C116" s="2">
        <v>106849.9</v>
      </c>
      <c r="D116" s="2">
        <v>3121.0</v>
      </c>
      <c r="E116" s="5">
        <f t="shared" si="1"/>
        <v>35.03954181</v>
      </c>
      <c r="F116" s="7">
        <f t="shared" si="2"/>
        <v>0.02293842787</v>
      </c>
      <c r="G116" s="5">
        <f t="shared" si="3"/>
        <v>0.8037520026</v>
      </c>
      <c r="H116" s="7">
        <f t="shared" si="4"/>
        <v>0.02293842787</v>
      </c>
      <c r="I116" s="2" t="str">
        <f t="shared" si="5"/>
        <v>2014-04</v>
      </c>
      <c r="J116" s="2">
        <f t="shared" si="6"/>
        <v>2014</v>
      </c>
      <c r="K116" s="2">
        <f t="shared" si="7"/>
        <v>4</v>
      </c>
      <c r="L116" s="2" t="str">
        <f t="shared" si="8"/>
        <v>Wed</v>
      </c>
    </row>
    <row r="117" ht="15.0" customHeight="1">
      <c r="A117" s="4">
        <v>41753.0</v>
      </c>
      <c r="B117" s="2">
        <v>98430.11</v>
      </c>
      <c r="C117" s="2">
        <v>96197.48</v>
      </c>
      <c r="D117" s="2">
        <v>2809.0</v>
      </c>
      <c r="E117" s="5">
        <f t="shared" si="1"/>
        <v>35.040979</v>
      </c>
      <c r="F117" s="7">
        <f t="shared" si="2"/>
        <v>0.02268238855</v>
      </c>
      <c r="G117" s="5">
        <f t="shared" si="3"/>
        <v>0.7948131007</v>
      </c>
      <c r="H117" s="7">
        <f t="shared" si="4"/>
        <v>0.02268238855</v>
      </c>
      <c r="I117" s="2" t="str">
        <f t="shared" si="5"/>
        <v>2014-04</v>
      </c>
      <c r="J117" s="2">
        <f t="shared" si="6"/>
        <v>2014</v>
      </c>
      <c r="K117" s="2">
        <f t="shared" si="7"/>
        <v>5</v>
      </c>
      <c r="L117" s="2" t="str">
        <f t="shared" si="8"/>
        <v>Thu</v>
      </c>
    </row>
    <row r="118" ht="15.0" customHeight="1">
      <c r="A118" s="4">
        <v>41754.0</v>
      </c>
      <c r="B118" s="2">
        <v>295741.35</v>
      </c>
      <c r="C118" s="2">
        <v>292327.03</v>
      </c>
      <c r="D118" s="2">
        <v>8537.0</v>
      </c>
      <c r="E118" s="5">
        <f t="shared" si="1"/>
        <v>34.64230409</v>
      </c>
      <c r="F118" s="7">
        <f t="shared" si="2"/>
        <v>0.01154495305</v>
      </c>
      <c r="G118" s="5">
        <f t="shared" si="3"/>
        <v>0.3999437742</v>
      </c>
      <c r="H118" s="7">
        <f t="shared" si="4"/>
        <v>0.01154495305</v>
      </c>
      <c r="I118" s="2" t="str">
        <f t="shared" si="5"/>
        <v>2014-04</v>
      </c>
      <c r="J118" s="2">
        <f t="shared" si="6"/>
        <v>2014</v>
      </c>
      <c r="K118" s="2">
        <f t="shared" si="7"/>
        <v>6</v>
      </c>
      <c r="L118" s="2" t="str">
        <f t="shared" si="8"/>
        <v>Fri</v>
      </c>
    </row>
    <row r="119" ht="15.0" customHeight="1">
      <c r="A119" s="4">
        <v>41755.0</v>
      </c>
      <c r="B119" s="2">
        <v>285053.98</v>
      </c>
      <c r="C119" s="2">
        <v>281159.58</v>
      </c>
      <c r="D119" s="2">
        <v>8209.0</v>
      </c>
      <c r="E119" s="5">
        <f t="shared" si="1"/>
        <v>34.72456816</v>
      </c>
      <c r="F119" s="7">
        <f t="shared" si="2"/>
        <v>0.01366197378</v>
      </c>
      <c r="G119" s="5">
        <f t="shared" si="3"/>
        <v>0.4744061396</v>
      </c>
      <c r="H119" s="7">
        <f t="shared" si="4"/>
        <v>0.01366197378</v>
      </c>
      <c r="I119" s="2" t="str">
        <f t="shared" si="5"/>
        <v>2014-04</v>
      </c>
      <c r="J119" s="2">
        <f t="shared" si="6"/>
        <v>2014</v>
      </c>
      <c r="K119" s="2">
        <f t="shared" si="7"/>
        <v>7</v>
      </c>
      <c r="L119" s="2" t="str">
        <f t="shared" si="8"/>
        <v>Sat</v>
      </c>
    </row>
    <row r="120" ht="15.0" customHeight="1">
      <c r="A120" s="4">
        <v>41756.0</v>
      </c>
      <c r="B120" s="2">
        <v>124964.8</v>
      </c>
      <c r="C120" s="2">
        <v>123042.16</v>
      </c>
      <c r="D120" s="2">
        <v>3592.0</v>
      </c>
      <c r="E120" s="5">
        <f t="shared" si="1"/>
        <v>34.78975501</v>
      </c>
      <c r="F120" s="7">
        <f t="shared" si="2"/>
        <v>0.01538545254</v>
      </c>
      <c r="G120" s="5">
        <f t="shared" si="3"/>
        <v>0.5352561247</v>
      </c>
      <c r="H120" s="7">
        <f t="shared" si="4"/>
        <v>0.01538545254</v>
      </c>
      <c r="I120" s="2" t="str">
        <f t="shared" si="5"/>
        <v>2014-04</v>
      </c>
      <c r="J120" s="2">
        <f t="shared" si="6"/>
        <v>2014</v>
      </c>
      <c r="K120" s="2">
        <f t="shared" si="7"/>
        <v>1</v>
      </c>
      <c r="L120" s="2" t="str">
        <f t="shared" si="8"/>
        <v>Sun</v>
      </c>
    </row>
    <row r="121" ht="15.0" customHeight="1">
      <c r="A121" s="4">
        <v>41757.0</v>
      </c>
      <c r="B121" s="2">
        <v>124175.81</v>
      </c>
      <c r="C121" s="2">
        <v>122516.07</v>
      </c>
      <c r="D121" s="2">
        <v>3576.0</v>
      </c>
      <c r="E121" s="5">
        <f t="shared" si="1"/>
        <v>34.72477908</v>
      </c>
      <c r="F121" s="7">
        <f t="shared" si="2"/>
        <v>0.01336604931</v>
      </c>
      <c r="G121" s="5">
        <f t="shared" si="3"/>
        <v>0.4641331096</v>
      </c>
      <c r="H121" s="7">
        <f t="shared" si="4"/>
        <v>0.01336604931</v>
      </c>
      <c r="I121" s="2" t="str">
        <f t="shared" si="5"/>
        <v>2014-04</v>
      </c>
      <c r="J121" s="2">
        <f t="shared" si="6"/>
        <v>2014</v>
      </c>
      <c r="K121" s="2">
        <f t="shared" si="7"/>
        <v>2</v>
      </c>
      <c r="L121" s="2" t="str">
        <f t="shared" si="8"/>
        <v>Mon</v>
      </c>
    </row>
    <row r="122" ht="15.0" customHeight="1">
      <c r="A122" s="4">
        <v>41758.0</v>
      </c>
      <c r="B122" s="2">
        <v>131842.57</v>
      </c>
      <c r="C122" s="2">
        <v>130405.26</v>
      </c>
      <c r="D122" s="2">
        <v>3807.0</v>
      </c>
      <c r="E122" s="5">
        <f t="shared" si="1"/>
        <v>34.63161807</v>
      </c>
      <c r="F122" s="7">
        <f t="shared" si="2"/>
        <v>0.01090171407</v>
      </c>
      <c r="G122" s="5">
        <f t="shared" si="3"/>
        <v>0.3775439979</v>
      </c>
      <c r="H122" s="7">
        <f t="shared" si="4"/>
        <v>0.01090171407</v>
      </c>
      <c r="I122" s="2" t="str">
        <f t="shared" si="5"/>
        <v>2014-04</v>
      </c>
      <c r="J122" s="2">
        <f t="shared" si="6"/>
        <v>2014</v>
      </c>
      <c r="K122" s="2">
        <f t="shared" si="7"/>
        <v>3</v>
      </c>
      <c r="L122" s="2" t="str">
        <f t="shared" si="8"/>
        <v>Tue</v>
      </c>
    </row>
    <row r="123" ht="15.0" customHeight="1">
      <c r="A123" s="4">
        <v>41759.0</v>
      </c>
      <c r="B123" s="2">
        <v>154850.06</v>
      </c>
      <c r="C123" s="2">
        <v>150644.35</v>
      </c>
      <c r="D123" s="2">
        <v>4398.0</v>
      </c>
      <c r="E123" s="5">
        <f t="shared" si="1"/>
        <v>35.20919964</v>
      </c>
      <c r="F123" s="7">
        <f t="shared" si="2"/>
        <v>0.02715988615</v>
      </c>
      <c r="G123" s="5">
        <f t="shared" si="3"/>
        <v>0.9562778536</v>
      </c>
      <c r="H123" s="7">
        <f t="shared" si="4"/>
        <v>0.02715988615</v>
      </c>
      <c r="I123" s="2" t="str">
        <f t="shared" si="5"/>
        <v>2014-04</v>
      </c>
      <c r="J123" s="2">
        <f t="shared" si="6"/>
        <v>2014</v>
      </c>
      <c r="K123" s="2">
        <f t="shared" si="7"/>
        <v>4</v>
      </c>
      <c r="L123" s="2" t="str">
        <f t="shared" si="8"/>
        <v>Wed</v>
      </c>
    </row>
    <row r="124" ht="15.0" customHeight="1">
      <c r="A124" s="4">
        <v>41760.0</v>
      </c>
      <c r="B124" s="2">
        <v>180294.27</v>
      </c>
      <c r="C124" s="2">
        <v>175656.65</v>
      </c>
      <c r="D124" s="2">
        <v>5124.0</v>
      </c>
      <c r="E124" s="5">
        <f t="shared" si="1"/>
        <v>35.18623536</v>
      </c>
      <c r="F124" s="7">
        <f t="shared" si="2"/>
        <v>0.02572250355</v>
      </c>
      <c r="G124" s="5">
        <f t="shared" si="3"/>
        <v>0.905078064</v>
      </c>
      <c r="H124" s="7">
        <f t="shared" si="4"/>
        <v>0.02572250355</v>
      </c>
      <c r="I124" s="2" t="str">
        <f t="shared" si="5"/>
        <v>2014-05</v>
      </c>
      <c r="J124" s="2">
        <f t="shared" si="6"/>
        <v>2014</v>
      </c>
      <c r="K124" s="2">
        <f t="shared" si="7"/>
        <v>5</v>
      </c>
      <c r="L124" s="2" t="str">
        <f t="shared" si="8"/>
        <v>Thu</v>
      </c>
    </row>
    <row r="125" ht="15.0" customHeight="1">
      <c r="A125" s="4">
        <v>41761.0</v>
      </c>
      <c r="B125" s="2">
        <v>163849.04</v>
      </c>
      <c r="C125" s="2">
        <v>157300.63</v>
      </c>
      <c r="D125" s="2">
        <v>4581.0</v>
      </c>
      <c r="E125" s="5">
        <f t="shared" si="1"/>
        <v>35.76709015</v>
      </c>
      <c r="F125" s="7">
        <f t="shared" si="2"/>
        <v>0.03996611759</v>
      </c>
      <c r="G125" s="5">
        <f t="shared" si="3"/>
        <v>1.429471731</v>
      </c>
      <c r="H125" s="7">
        <f t="shared" si="4"/>
        <v>0.03996611759</v>
      </c>
      <c r="I125" s="2" t="str">
        <f t="shared" si="5"/>
        <v>2014-05</v>
      </c>
      <c r="J125" s="2">
        <f t="shared" si="6"/>
        <v>2014</v>
      </c>
      <c r="K125" s="2">
        <f t="shared" si="7"/>
        <v>6</v>
      </c>
      <c r="L125" s="2" t="str">
        <f t="shared" si="8"/>
        <v>Fri</v>
      </c>
    </row>
    <row r="126" ht="15.0" customHeight="1">
      <c r="A126" s="4">
        <v>41762.0</v>
      </c>
      <c r="B126" s="2">
        <v>131436.79</v>
      </c>
      <c r="C126" s="2">
        <v>127601.94</v>
      </c>
      <c r="D126" s="2">
        <v>3697.0</v>
      </c>
      <c r="E126" s="5">
        <f t="shared" si="1"/>
        <v>35.55228293</v>
      </c>
      <c r="F126" s="7">
        <f t="shared" si="2"/>
        <v>0.02917638205</v>
      </c>
      <c r="G126" s="5">
        <f t="shared" si="3"/>
        <v>1.037286989</v>
      </c>
      <c r="H126" s="7">
        <f t="shared" si="4"/>
        <v>0.02917638205</v>
      </c>
      <c r="I126" s="2" t="str">
        <f t="shared" si="5"/>
        <v>2014-05</v>
      </c>
      <c r="J126" s="2">
        <f t="shared" si="6"/>
        <v>2014</v>
      </c>
      <c r="K126" s="2">
        <f t="shared" si="7"/>
        <v>7</v>
      </c>
      <c r="L126" s="2" t="str">
        <f t="shared" si="8"/>
        <v>Sat</v>
      </c>
    </row>
    <row r="127" ht="15.0" customHeight="1">
      <c r="A127" s="4">
        <v>41763.0</v>
      </c>
      <c r="B127" s="2">
        <v>93082.04</v>
      </c>
      <c r="C127" s="2">
        <v>91601.51</v>
      </c>
      <c r="D127" s="2">
        <v>2642.0</v>
      </c>
      <c r="E127" s="5">
        <f t="shared" si="1"/>
        <v>35.23165783</v>
      </c>
      <c r="F127" s="7">
        <f t="shared" si="2"/>
        <v>0.01590564624</v>
      </c>
      <c r="G127" s="5">
        <f t="shared" si="3"/>
        <v>0.5603822861</v>
      </c>
      <c r="H127" s="7">
        <f t="shared" si="4"/>
        <v>0.01590564624</v>
      </c>
      <c r="I127" s="2" t="str">
        <f t="shared" si="5"/>
        <v>2014-05</v>
      </c>
      <c r="J127" s="2">
        <f t="shared" si="6"/>
        <v>2014</v>
      </c>
      <c r="K127" s="2">
        <f t="shared" si="7"/>
        <v>1</v>
      </c>
      <c r="L127" s="2" t="str">
        <f t="shared" si="8"/>
        <v>Sun</v>
      </c>
    </row>
    <row r="128" ht="15.0" customHeight="1">
      <c r="A128" s="4">
        <v>41764.0</v>
      </c>
      <c r="B128" s="2">
        <v>110887.01</v>
      </c>
      <c r="C128" s="2">
        <v>109460.15</v>
      </c>
      <c r="D128" s="2">
        <v>3154.0</v>
      </c>
      <c r="E128" s="5">
        <f t="shared" si="1"/>
        <v>35.15758085</v>
      </c>
      <c r="F128" s="7">
        <f t="shared" si="2"/>
        <v>0.01286769298</v>
      </c>
      <c r="G128" s="5">
        <f t="shared" si="3"/>
        <v>0.4523969562</v>
      </c>
      <c r="H128" s="7">
        <f t="shared" si="4"/>
        <v>0.01286769298</v>
      </c>
      <c r="I128" s="2" t="str">
        <f t="shared" si="5"/>
        <v>2014-05</v>
      </c>
      <c r="J128" s="2">
        <f t="shared" si="6"/>
        <v>2014</v>
      </c>
      <c r="K128" s="2">
        <f t="shared" si="7"/>
        <v>2</v>
      </c>
      <c r="L128" s="2" t="str">
        <f t="shared" si="8"/>
        <v>Mon</v>
      </c>
    </row>
    <row r="129" ht="15.0" customHeight="1">
      <c r="A129" s="4">
        <v>41765.0</v>
      </c>
      <c r="B129" s="2">
        <v>119385.58</v>
      </c>
      <c r="C129" s="2">
        <v>115693.11</v>
      </c>
      <c r="D129" s="2">
        <v>3324.0</v>
      </c>
      <c r="E129" s="5">
        <f t="shared" si="1"/>
        <v>35.91623947</v>
      </c>
      <c r="F129" s="7">
        <f t="shared" si="2"/>
        <v>0.03092894468</v>
      </c>
      <c r="G129" s="5">
        <f t="shared" si="3"/>
        <v>1.110851384</v>
      </c>
      <c r="H129" s="7">
        <f t="shared" si="4"/>
        <v>0.03092894468</v>
      </c>
      <c r="I129" s="2" t="str">
        <f t="shared" si="5"/>
        <v>2014-05</v>
      </c>
      <c r="J129" s="2">
        <f t="shared" si="6"/>
        <v>2014</v>
      </c>
      <c r="K129" s="2">
        <f t="shared" si="7"/>
        <v>3</v>
      </c>
      <c r="L129" s="2" t="str">
        <f t="shared" si="8"/>
        <v>Tue</v>
      </c>
    </row>
    <row r="130" ht="15.0" customHeight="1">
      <c r="A130" s="4">
        <v>41766.0</v>
      </c>
      <c r="B130" s="2">
        <v>91719.59</v>
      </c>
      <c r="C130" s="2">
        <v>93157.17</v>
      </c>
      <c r="D130" s="2">
        <v>2677.0</v>
      </c>
      <c r="E130" s="5">
        <f t="shared" si="1"/>
        <v>34.26208069</v>
      </c>
      <c r="F130" s="7">
        <f t="shared" si="2"/>
        <v>-0.0156736418</v>
      </c>
      <c r="G130" s="5">
        <f t="shared" si="3"/>
        <v>-0.5370115801</v>
      </c>
      <c r="H130" s="7">
        <f t="shared" si="4"/>
        <v>-0.0156736418</v>
      </c>
      <c r="I130" s="2" t="str">
        <f t="shared" si="5"/>
        <v>2014-05</v>
      </c>
      <c r="J130" s="2">
        <f t="shared" si="6"/>
        <v>2014</v>
      </c>
      <c r="K130" s="2">
        <f t="shared" si="7"/>
        <v>4</v>
      </c>
      <c r="L130" s="2" t="str">
        <f t="shared" si="8"/>
        <v>Wed</v>
      </c>
    </row>
    <row r="131" ht="15.0" customHeight="1">
      <c r="A131" s="4">
        <v>41767.0</v>
      </c>
      <c r="B131" s="2">
        <v>96335.45</v>
      </c>
      <c r="C131" s="2">
        <v>93696.22</v>
      </c>
      <c r="D131" s="2">
        <v>2683.0</v>
      </c>
      <c r="E131" s="5">
        <f t="shared" si="1"/>
        <v>35.90587029</v>
      </c>
      <c r="F131" s="7">
        <f t="shared" si="2"/>
        <v>0.02739624925</v>
      </c>
      <c r="G131" s="5">
        <f t="shared" si="3"/>
        <v>0.9836861722</v>
      </c>
      <c r="H131" s="7">
        <f t="shared" si="4"/>
        <v>0.02739624925</v>
      </c>
      <c r="I131" s="2" t="str">
        <f t="shared" si="5"/>
        <v>2014-05</v>
      </c>
      <c r="J131" s="2">
        <f t="shared" si="6"/>
        <v>2014</v>
      </c>
      <c r="K131" s="2">
        <f t="shared" si="7"/>
        <v>5</v>
      </c>
      <c r="L131" s="2" t="str">
        <f t="shared" si="8"/>
        <v>Thu</v>
      </c>
    </row>
    <row r="132" ht="15.0" customHeight="1">
      <c r="A132" s="4">
        <v>41768.0</v>
      </c>
      <c r="B132" s="2">
        <v>303226.3</v>
      </c>
      <c r="C132" s="2">
        <v>325836.94</v>
      </c>
      <c r="D132" s="2">
        <v>9328.0</v>
      </c>
      <c r="E132" s="5">
        <f t="shared" si="1"/>
        <v>32.50710763</v>
      </c>
      <c r="F132" s="7">
        <f t="shared" si="2"/>
        <v>-0.07456688289</v>
      </c>
      <c r="G132" s="5">
        <f t="shared" si="3"/>
        <v>-2.423953688</v>
      </c>
      <c r="H132" s="7">
        <f t="shared" si="4"/>
        <v>-0.07456688289</v>
      </c>
      <c r="I132" s="2" t="str">
        <f t="shared" si="5"/>
        <v>2014-05</v>
      </c>
      <c r="J132" s="2">
        <f t="shared" si="6"/>
        <v>2014</v>
      </c>
      <c r="K132" s="2">
        <f t="shared" si="7"/>
        <v>6</v>
      </c>
      <c r="L132" s="2" t="str">
        <f t="shared" si="8"/>
        <v>Fri</v>
      </c>
    </row>
    <row r="133" ht="15.0" customHeight="1">
      <c r="A133" s="4">
        <v>41769.0</v>
      </c>
      <c r="B133" s="2">
        <v>431695.71</v>
      </c>
      <c r="C133" s="2">
        <v>465253.82</v>
      </c>
      <c r="D133" s="2">
        <v>13306.0</v>
      </c>
      <c r="E133" s="5">
        <f t="shared" si="1"/>
        <v>32.44368781</v>
      </c>
      <c r="F133" s="7">
        <f t="shared" si="2"/>
        <v>-0.07773556517</v>
      </c>
      <c r="G133" s="5">
        <f t="shared" si="3"/>
        <v>-2.522028408</v>
      </c>
      <c r="H133" s="7">
        <f t="shared" si="4"/>
        <v>-0.07773556517</v>
      </c>
      <c r="I133" s="2" t="str">
        <f t="shared" si="5"/>
        <v>2014-05</v>
      </c>
      <c r="J133" s="2">
        <f t="shared" si="6"/>
        <v>2014</v>
      </c>
      <c r="K133" s="2">
        <f t="shared" si="7"/>
        <v>7</v>
      </c>
      <c r="L133" s="2" t="str">
        <f t="shared" si="8"/>
        <v>Sat</v>
      </c>
    </row>
    <row r="134" ht="15.0" customHeight="1">
      <c r="A134" s="4">
        <v>41770.0</v>
      </c>
      <c r="B134" s="2">
        <v>200407.28</v>
      </c>
      <c r="C134" s="2">
        <v>215907.82</v>
      </c>
      <c r="D134" s="2">
        <v>6173.0</v>
      </c>
      <c r="E134" s="5">
        <f t="shared" si="1"/>
        <v>32.46513527</v>
      </c>
      <c r="F134" s="7">
        <f t="shared" si="2"/>
        <v>-0.07734519425</v>
      </c>
      <c r="G134" s="5">
        <f t="shared" si="3"/>
        <v>-2.511022193</v>
      </c>
      <c r="H134" s="7">
        <f t="shared" si="4"/>
        <v>-0.07734519425</v>
      </c>
      <c r="I134" s="2" t="str">
        <f t="shared" si="5"/>
        <v>2014-05</v>
      </c>
      <c r="J134" s="2">
        <f t="shared" si="6"/>
        <v>2014</v>
      </c>
      <c r="K134" s="2">
        <f t="shared" si="7"/>
        <v>1</v>
      </c>
      <c r="L134" s="2" t="str">
        <f t="shared" si="8"/>
        <v>Sun</v>
      </c>
    </row>
    <row r="135" ht="15.0" customHeight="1">
      <c r="A135" s="4">
        <v>41771.0</v>
      </c>
      <c r="B135" s="2">
        <v>183413.71</v>
      </c>
      <c r="C135" s="2">
        <v>197835.5</v>
      </c>
      <c r="D135" s="2">
        <v>5653.0</v>
      </c>
      <c r="E135" s="5">
        <f t="shared" si="1"/>
        <v>32.44537591</v>
      </c>
      <c r="F135" s="7">
        <f t="shared" si="2"/>
        <v>-0.07862983634</v>
      </c>
      <c r="G135" s="5">
        <f t="shared" si="3"/>
        <v>-2.551174598</v>
      </c>
      <c r="H135" s="7">
        <f t="shared" si="4"/>
        <v>-0.07862983634</v>
      </c>
      <c r="I135" s="2" t="str">
        <f t="shared" si="5"/>
        <v>2014-05</v>
      </c>
      <c r="J135" s="2">
        <f t="shared" si="6"/>
        <v>2014</v>
      </c>
      <c r="K135" s="2">
        <f t="shared" si="7"/>
        <v>2</v>
      </c>
      <c r="L135" s="2" t="str">
        <f t="shared" si="8"/>
        <v>Mon</v>
      </c>
    </row>
    <row r="136" ht="15.0" customHeight="1">
      <c r="A136" s="4">
        <v>41772.0</v>
      </c>
      <c r="B136" s="2">
        <v>146166.6</v>
      </c>
      <c r="C136" s="2">
        <v>157693.19</v>
      </c>
      <c r="D136" s="2">
        <v>4503.0</v>
      </c>
      <c r="E136" s="5">
        <f t="shared" si="1"/>
        <v>32.45982678</v>
      </c>
      <c r="F136" s="7">
        <f t="shared" si="2"/>
        <v>-0.0788592606</v>
      </c>
      <c r="G136" s="5">
        <f t="shared" si="3"/>
        <v>-2.559757939</v>
      </c>
      <c r="H136" s="7">
        <f t="shared" si="4"/>
        <v>-0.0788592606</v>
      </c>
      <c r="I136" s="2" t="str">
        <f t="shared" si="5"/>
        <v>2014-05</v>
      </c>
      <c r="J136" s="2">
        <f t="shared" si="6"/>
        <v>2014</v>
      </c>
      <c r="K136" s="2">
        <f t="shared" si="7"/>
        <v>3</v>
      </c>
      <c r="L136" s="2" t="str">
        <f t="shared" si="8"/>
        <v>Tue</v>
      </c>
    </row>
    <row r="137" ht="15.0" customHeight="1">
      <c r="A137" s="4">
        <v>41773.0</v>
      </c>
      <c r="B137" s="2">
        <v>201120.73</v>
      </c>
      <c r="C137" s="2">
        <v>218098.76</v>
      </c>
      <c r="D137" s="2">
        <v>6253.0</v>
      </c>
      <c r="E137" s="5">
        <f t="shared" si="1"/>
        <v>32.16387814</v>
      </c>
      <c r="F137" s="7">
        <f t="shared" si="2"/>
        <v>-0.08441710608</v>
      </c>
      <c r="G137" s="5">
        <f t="shared" si="3"/>
        <v>-2.715181513</v>
      </c>
      <c r="H137" s="7">
        <f t="shared" si="4"/>
        <v>-0.08441710608</v>
      </c>
      <c r="I137" s="2" t="str">
        <f t="shared" si="5"/>
        <v>2014-05</v>
      </c>
      <c r="J137" s="2">
        <f t="shared" si="6"/>
        <v>2014</v>
      </c>
      <c r="K137" s="2">
        <f t="shared" si="7"/>
        <v>4</v>
      </c>
      <c r="L137" s="2" t="str">
        <f t="shared" si="8"/>
        <v>Wed</v>
      </c>
    </row>
    <row r="138" ht="15.0" customHeight="1">
      <c r="A138" s="4">
        <v>41774.0</v>
      </c>
      <c r="B138" s="2">
        <v>270123.55</v>
      </c>
      <c r="C138" s="2">
        <v>289864.8</v>
      </c>
      <c r="D138" s="2">
        <v>8408.0</v>
      </c>
      <c r="E138" s="5">
        <f t="shared" si="1"/>
        <v>32.12696836</v>
      </c>
      <c r="F138" s="7">
        <f t="shared" si="2"/>
        <v>-0.07308229882</v>
      </c>
      <c r="G138" s="5">
        <f t="shared" si="3"/>
        <v>-2.347912702</v>
      </c>
      <c r="H138" s="7">
        <f t="shared" si="4"/>
        <v>-0.07308229882</v>
      </c>
      <c r="I138" s="2" t="str">
        <f t="shared" si="5"/>
        <v>2014-05</v>
      </c>
      <c r="J138" s="2">
        <f t="shared" si="6"/>
        <v>2014</v>
      </c>
      <c r="K138" s="2">
        <f t="shared" si="7"/>
        <v>5</v>
      </c>
      <c r="L138" s="2" t="str">
        <f t="shared" si="8"/>
        <v>Thu</v>
      </c>
    </row>
    <row r="139" ht="15.0" customHeight="1">
      <c r="A139" s="4">
        <v>41775.0</v>
      </c>
      <c r="B139" s="2">
        <v>415315.38</v>
      </c>
      <c r="C139" s="2">
        <v>441790.77</v>
      </c>
      <c r="D139" s="2">
        <v>12949.0</v>
      </c>
      <c r="E139" s="5">
        <f t="shared" si="1"/>
        <v>32.07316241</v>
      </c>
      <c r="F139" s="7">
        <f t="shared" si="2"/>
        <v>-0.06374767532</v>
      </c>
      <c r="G139" s="5">
        <f t="shared" si="3"/>
        <v>-2.044589544</v>
      </c>
      <c r="H139" s="7">
        <f t="shared" si="4"/>
        <v>-0.06374767532</v>
      </c>
      <c r="I139" s="2" t="str">
        <f t="shared" si="5"/>
        <v>2014-05</v>
      </c>
      <c r="J139" s="2">
        <f t="shared" si="6"/>
        <v>2014</v>
      </c>
      <c r="K139" s="2">
        <f t="shared" si="7"/>
        <v>6</v>
      </c>
      <c r="L139" s="2" t="str">
        <f t="shared" si="8"/>
        <v>Fri</v>
      </c>
    </row>
    <row r="140" ht="15.0" customHeight="1">
      <c r="A140" s="4">
        <v>41776.0</v>
      </c>
      <c r="B140" s="2">
        <v>498717.0</v>
      </c>
      <c r="C140" s="2">
        <v>526707.38</v>
      </c>
      <c r="D140" s="2">
        <v>15508.0</v>
      </c>
      <c r="E140" s="5">
        <f t="shared" si="1"/>
        <v>32.15869229</v>
      </c>
      <c r="F140" s="7">
        <f t="shared" si="2"/>
        <v>-0.05612477618</v>
      </c>
      <c r="G140" s="5">
        <f t="shared" si="3"/>
        <v>-1.804899407</v>
      </c>
      <c r="H140" s="7">
        <f t="shared" si="4"/>
        <v>-0.05612477618</v>
      </c>
      <c r="I140" s="2" t="str">
        <f t="shared" si="5"/>
        <v>2014-05</v>
      </c>
      <c r="J140" s="2">
        <f t="shared" si="6"/>
        <v>2014</v>
      </c>
      <c r="K140" s="2">
        <f t="shared" si="7"/>
        <v>7</v>
      </c>
      <c r="L140" s="2" t="str">
        <f t="shared" si="8"/>
        <v>Sat</v>
      </c>
    </row>
    <row r="141" ht="15.0" customHeight="1">
      <c r="A141" s="4">
        <v>41777.0</v>
      </c>
      <c r="B141" s="2">
        <v>166433.17</v>
      </c>
      <c r="C141" s="2">
        <v>174376.63</v>
      </c>
      <c r="D141" s="2">
        <v>5141.0</v>
      </c>
      <c r="E141" s="5">
        <f t="shared" si="1"/>
        <v>32.37369578</v>
      </c>
      <c r="F141" s="7">
        <f t="shared" si="2"/>
        <v>-0.04772762545</v>
      </c>
      <c r="G141" s="5">
        <f t="shared" si="3"/>
        <v>-1.545119627</v>
      </c>
      <c r="H141" s="7">
        <f t="shared" si="4"/>
        <v>-0.04772762545</v>
      </c>
      <c r="I141" s="2" t="str">
        <f t="shared" si="5"/>
        <v>2014-05</v>
      </c>
      <c r="J141" s="2">
        <f t="shared" si="6"/>
        <v>2014</v>
      </c>
      <c r="K141" s="2">
        <f t="shared" si="7"/>
        <v>1</v>
      </c>
      <c r="L141" s="2" t="str">
        <f t="shared" si="8"/>
        <v>Sun</v>
      </c>
    </row>
    <row r="142" ht="15.0" customHeight="1">
      <c r="A142" s="4">
        <v>41778.0</v>
      </c>
      <c r="B142" s="2">
        <v>168520.63</v>
      </c>
      <c r="C142" s="2">
        <v>175540.12</v>
      </c>
      <c r="D142" s="2">
        <v>5194.0</v>
      </c>
      <c r="E142" s="5">
        <f t="shared" si="1"/>
        <v>32.44525029</v>
      </c>
      <c r="F142" s="7">
        <f t="shared" si="2"/>
        <v>-0.04165359458</v>
      </c>
      <c r="G142" s="5">
        <f t="shared" si="3"/>
        <v>-1.351461302</v>
      </c>
      <c r="H142" s="7">
        <f t="shared" si="4"/>
        <v>-0.04165359458</v>
      </c>
      <c r="I142" s="2" t="str">
        <f t="shared" si="5"/>
        <v>2014-05</v>
      </c>
      <c r="J142" s="2">
        <f t="shared" si="6"/>
        <v>2014</v>
      </c>
      <c r="K142" s="2">
        <f t="shared" si="7"/>
        <v>2</v>
      </c>
      <c r="L142" s="2" t="str">
        <f t="shared" si="8"/>
        <v>Mon</v>
      </c>
    </row>
    <row r="143" ht="15.0" customHeight="1">
      <c r="A143" s="4">
        <v>41779.0</v>
      </c>
      <c r="B143" s="2">
        <v>178123.53</v>
      </c>
      <c r="C143" s="2">
        <v>187748.17</v>
      </c>
      <c r="D143" s="2">
        <v>5550.0</v>
      </c>
      <c r="E143" s="5">
        <f t="shared" si="1"/>
        <v>32.09432973</v>
      </c>
      <c r="F143" s="7">
        <f t="shared" si="2"/>
        <v>-0.05403351259</v>
      </c>
      <c r="G143" s="5">
        <f t="shared" si="3"/>
        <v>-1.734169369</v>
      </c>
      <c r="H143" s="7">
        <f t="shared" si="4"/>
        <v>-0.05403351259</v>
      </c>
      <c r="I143" s="2" t="str">
        <f t="shared" si="5"/>
        <v>2014-05</v>
      </c>
      <c r="J143" s="2">
        <f t="shared" si="6"/>
        <v>2014</v>
      </c>
      <c r="K143" s="2">
        <f t="shared" si="7"/>
        <v>3</v>
      </c>
      <c r="L143" s="2" t="str">
        <f t="shared" si="8"/>
        <v>Tue</v>
      </c>
    </row>
    <row r="144" ht="15.0" customHeight="1">
      <c r="A144" s="4">
        <v>41780.0</v>
      </c>
      <c r="B144" s="2">
        <v>194878.8</v>
      </c>
      <c r="C144" s="2">
        <v>204460.67</v>
      </c>
      <c r="D144" s="2">
        <v>6070.0</v>
      </c>
      <c r="E144" s="5">
        <f t="shared" si="1"/>
        <v>32.10523888</v>
      </c>
      <c r="F144" s="7">
        <f t="shared" si="2"/>
        <v>-0.0491683549</v>
      </c>
      <c r="G144" s="5">
        <f t="shared" si="3"/>
        <v>-1.578561779</v>
      </c>
      <c r="H144" s="7">
        <f t="shared" si="4"/>
        <v>-0.0491683549</v>
      </c>
      <c r="I144" s="2" t="str">
        <f t="shared" si="5"/>
        <v>2014-05</v>
      </c>
      <c r="J144" s="2">
        <f t="shared" si="6"/>
        <v>2014</v>
      </c>
      <c r="K144" s="2">
        <f t="shared" si="7"/>
        <v>4</v>
      </c>
      <c r="L144" s="2" t="str">
        <f t="shared" si="8"/>
        <v>Wed</v>
      </c>
    </row>
    <row r="145" ht="15.0" customHeight="1">
      <c r="A145" s="4">
        <v>41781.0</v>
      </c>
      <c r="B145" s="2">
        <v>115475.1</v>
      </c>
      <c r="C145" s="2">
        <v>115011.32</v>
      </c>
      <c r="D145" s="2">
        <v>3421.0</v>
      </c>
      <c r="E145" s="5">
        <f t="shared" si="1"/>
        <v>33.7547793</v>
      </c>
      <c r="F145" s="7">
        <f t="shared" si="2"/>
        <v>0.004016277102</v>
      </c>
      <c r="G145" s="5">
        <f t="shared" si="3"/>
        <v>0.1355685472</v>
      </c>
      <c r="H145" s="7">
        <f t="shared" si="4"/>
        <v>0.004016277102</v>
      </c>
      <c r="I145" s="2" t="str">
        <f t="shared" si="5"/>
        <v>2014-05</v>
      </c>
      <c r="J145" s="2">
        <f t="shared" si="6"/>
        <v>2014</v>
      </c>
      <c r="K145" s="2">
        <f t="shared" si="7"/>
        <v>5</v>
      </c>
      <c r="L145" s="2" t="str">
        <f t="shared" si="8"/>
        <v>Thu</v>
      </c>
    </row>
    <row r="146" ht="15.0" customHeight="1">
      <c r="A146" s="4">
        <v>41782.0</v>
      </c>
      <c r="B146" s="2">
        <v>430521.02</v>
      </c>
      <c r="C146" s="2">
        <v>449274.19</v>
      </c>
      <c r="D146" s="2">
        <v>13384.0</v>
      </c>
      <c r="E146" s="5">
        <f t="shared" si="1"/>
        <v>32.1668425</v>
      </c>
      <c r="F146" s="7">
        <f t="shared" si="2"/>
        <v>-0.04355924363</v>
      </c>
      <c r="G146" s="5">
        <f t="shared" si="3"/>
        <v>-1.401163329</v>
      </c>
      <c r="H146" s="7">
        <f t="shared" si="4"/>
        <v>-0.04355924363</v>
      </c>
      <c r="I146" s="2" t="str">
        <f t="shared" si="5"/>
        <v>2014-05</v>
      </c>
      <c r="J146" s="2">
        <f t="shared" si="6"/>
        <v>2014</v>
      </c>
      <c r="K146" s="2">
        <f t="shared" si="7"/>
        <v>6</v>
      </c>
      <c r="L146" s="2" t="str">
        <f t="shared" si="8"/>
        <v>Fri</v>
      </c>
    </row>
    <row r="147" ht="15.0" customHeight="1">
      <c r="A147" s="4">
        <v>41783.0</v>
      </c>
      <c r="B147" s="2">
        <v>590642.83</v>
      </c>
      <c r="C147" s="2">
        <v>614245.79</v>
      </c>
      <c r="D147" s="2">
        <v>18356.0</v>
      </c>
      <c r="E147" s="5">
        <f t="shared" si="1"/>
        <v>32.17709904</v>
      </c>
      <c r="F147" s="7">
        <f t="shared" si="2"/>
        <v>-0.03996147723</v>
      </c>
      <c r="G147" s="5">
        <f t="shared" si="3"/>
        <v>-1.285844411</v>
      </c>
      <c r="H147" s="7">
        <f t="shared" si="4"/>
        <v>-0.03996147723</v>
      </c>
      <c r="I147" s="2" t="str">
        <f t="shared" si="5"/>
        <v>2014-05</v>
      </c>
      <c r="J147" s="2">
        <f t="shared" si="6"/>
        <v>2014</v>
      </c>
      <c r="K147" s="2">
        <f t="shared" si="7"/>
        <v>7</v>
      </c>
      <c r="L147" s="2" t="str">
        <f t="shared" si="8"/>
        <v>Sat</v>
      </c>
    </row>
    <row r="148" ht="15.0" customHeight="1">
      <c r="A148" s="4">
        <v>41784.0</v>
      </c>
      <c r="B148" s="2">
        <v>210764.72</v>
      </c>
      <c r="C148" s="2">
        <v>217364.46</v>
      </c>
      <c r="D148" s="2">
        <v>6500.0</v>
      </c>
      <c r="E148" s="5">
        <f t="shared" si="1"/>
        <v>32.42534154</v>
      </c>
      <c r="F148" s="7">
        <f t="shared" si="2"/>
        <v>-0.03131330519</v>
      </c>
      <c r="G148" s="5">
        <f t="shared" si="3"/>
        <v>-1.015344615</v>
      </c>
      <c r="H148" s="7">
        <f t="shared" si="4"/>
        <v>-0.03131330519</v>
      </c>
      <c r="I148" s="2" t="str">
        <f t="shared" si="5"/>
        <v>2014-05</v>
      </c>
      <c r="J148" s="2">
        <f t="shared" si="6"/>
        <v>2014</v>
      </c>
      <c r="K148" s="2">
        <f t="shared" si="7"/>
        <v>1</v>
      </c>
      <c r="L148" s="2" t="str">
        <f t="shared" si="8"/>
        <v>Sun</v>
      </c>
    </row>
    <row r="149" ht="15.0" customHeight="1">
      <c r="A149" s="4">
        <v>41785.0</v>
      </c>
      <c r="B149" s="2">
        <v>218189.35</v>
      </c>
      <c r="C149" s="2">
        <v>225607.6</v>
      </c>
      <c r="D149" s="2">
        <v>6752.0</v>
      </c>
      <c r="E149" s="5">
        <f t="shared" si="1"/>
        <v>32.3147734</v>
      </c>
      <c r="F149" s="7">
        <f t="shared" si="2"/>
        <v>-0.03399913882</v>
      </c>
      <c r="G149" s="5">
        <f t="shared" si="3"/>
        <v>-1.098674467</v>
      </c>
      <c r="H149" s="7">
        <f t="shared" si="4"/>
        <v>-0.03399913882</v>
      </c>
      <c r="I149" s="2" t="str">
        <f t="shared" si="5"/>
        <v>2014-05</v>
      </c>
      <c r="J149" s="2">
        <f t="shared" si="6"/>
        <v>2014</v>
      </c>
      <c r="K149" s="2">
        <f t="shared" si="7"/>
        <v>2</v>
      </c>
      <c r="L149" s="2" t="str">
        <f t="shared" si="8"/>
        <v>Mon</v>
      </c>
    </row>
    <row r="150" ht="15.0" customHeight="1">
      <c r="A150" s="4">
        <v>41786.0</v>
      </c>
      <c r="B150" s="2">
        <v>226132.46</v>
      </c>
      <c r="C150" s="2">
        <v>234496.51</v>
      </c>
      <c r="D150" s="2">
        <v>7023.0</v>
      </c>
      <c r="E150" s="5">
        <f t="shared" si="1"/>
        <v>32.19884095</v>
      </c>
      <c r="F150" s="7">
        <f t="shared" si="2"/>
        <v>-0.03698739226</v>
      </c>
      <c r="G150" s="5">
        <f t="shared" si="3"/>
        <v>-1.19095116</v>
      </c>
      <c r="H150" s="7">
        <f t="shared" si="4"/>
        <v>-0.03698739226</v>
      </c>
      <c r="I150" s="2" t="str">
        <f t="shared" si="5"/>
        <v>2014-05</v>
      </c>
      <c r="J150" s="2">
        <f t="shared" si="6"/>
        <v>2014</v>
      </c>
      <c r="K150" s="2">
        <f t="shared" si="7"/>
        <v>3</v>
      </c>
      <c r="L150" s="2" t="str">
        <f t="shared" si="8"/>
        <v>Tue</v>
      </c>
    </row>
    <row r="151" ht="15.0" customHeight="1">
      <c r="A151" s="4">
        <v>41787.0</v>
      </c>
      <c r="B151" s="2">
        <v>243720.87</v>
      </c>
      <c r="C151" s="2">
        <v>252929.29</v>
      </c>
      <c r="D151" s="2">
        <v>7579.0</v>
      </c>
      <c r="E151" s="5">
        <f t="shared" si="1"/>
        <v>32.15739148</v>
      </c>
      <c r="F151" s="7">
        <f t="shared" si="2"/>
        <v>-0.03778264865</v>
      </c>
      <c r="G151" s="5">
        <f t="shared" si="3"/>
        <v>-1.214991424</v>
      </c>
      <c r="H151" s="7">
        <f t="shared" si="4"/>
        <v>-0.03778264865</v>
      </c>
      <c r="I151" s="2" t="str">
        <f t="shared" si="5"/>
        <v>2014-05</v>
      </c>
      <c r="J151" s="2">
        <f t="shared" si="6"/>
        <v>2014</v>
      </c>
      <c r="K151" s="2">
        <f t="shared" si="7"/>
        <v>4</v>
      </c>
      <c r="L151" s="2" t="str">
        <f t="shared" si="8"/>
        <v>Wed</v>
      </c>
    </row>
    <row r="152" ht="15.0" customHeight="1">
      <c r="A152" s="4">
        <v>41788.0</v>
      </c>
      <c r="B152" s="2">
        <v>207429.43</v>
      </c>
      <c r="C152" s="2">
        <v>215118.85</v>
      </c>
      <c r="D152" s="2">
        <v>6448.0</v>
      </c>
      <c r="E152" s="5">
        <f t="shared" si="1"/>
        <v>32.16957661</v>
      </c>
      <c r="F152" s="7">
        <f t="shared" si="2"/>
        <v>-0.03707005317</v>
      </c>
      <c r="G152" s="5">
        <f t="shared" si="3"/>
        <v>-1.192527916</v>
      </c>
      <c r="H152" s="7">
        <f t="shared" si="4"/>
        <v>-0.03707005317</v>
      </c>
      <c r="I152" s="2" t="str">
        <f t="shared" si="5"/>
        <v>2014-05</v>
      </c>
      <c r="J152" s="2">
        <f t="shared" si="6"/>
        <v>2014</v>
      </c>
      <c r="K152" s="2">
        <f t="shared" si="7"/>
        <v>5</v>
      </c>
      <c r="L152" s="2" t="str">
        <f t="shared" si="8"/>
        <v>Thu</v>
      </c>
    </row>
    <row r="153" ht="15.0" customHeight="1">
      <c r="A153" s="4">
        <v>41789.0</v>
      </c>
      <c r="B153" s="2">
        <v>503149.43</v>
      </c>
      <c r="C153" s="2">
        <v>521651.09</v>
      </c>
      <c r="D153" s="2">
        <v>15637.0</v>
      </c>
      <c r="E153" s="5">
        <f t="shared" si="1"/>
        <v>32.1768517</v>
      </c>
      <c r="F153" s="7">
        <f t="shared" si="2"/>
        <v>-0.03677170021</v>
      </c>
      <c r="G153" s="5">
        <f t="shared" si="3"/>
        <v>-1.183197544</v>
      </c>
      <c r="H153" s="7">
        <f t="shared" si="4"/>
        <v>-0.03677170021</v>
      </c>
      <c r="I153" s="2" t="str">
        <f t="shared" si="5"/>
        <v>2014-05</v>
      </c>
      <c r="J153" s="2">
        <f t="shared" si="6"/>
        <v>2014</v>
      </c>
      <c r="K153" s="2">
        <f t="shared" si="7"/>
        <v>6</v>
      </c>
      <c r="L153" s="2" t="str">
        <f t="shared" si="8"/>
        <v>Fri</v>
      </c>
    </row>
    <row r="154" ht="15.0" customHeight="1">
      <c r="A154" s="4">
        <v>41790.0</v>
      </c>
      <c r="B154" s="2">
        <v>603748.79</v>
      </c>
      <c r="C154" s="2">
        <v>626259.39</v>
      </c>
      <c r="D154" s="2">
        <v>18775.0</v>
      </c>
      <c r="E154" s="5">
        <f t="shared" si="1"/>
        <v>32.15705939</v>
      </c>
      <c r="F154" s="7">
        <f t="shared" si="2"/>
        <v>-0.0372847124</v>
      </c>
      <c r="G154" s="5">
        <f t="shared" si="3"/>
        <v>-1.198966711</v>
      </c>
      <c r="H154" s="7">
        <f t="shared" si="4"/>
        <v>-0.0372847124</v>
      </c>
      <c r="I154" s="2" t="str">
        <f t="shared" si="5"/>
        <v>2014-05</v>
      </c>
      <c r="J154" s="2">
        <f t="shared" si="6"/>
        <v>2014</v>
      </c>
      <c r="K154" s="2">
        <f t="shared" si="7"/>
        <v>7</v>
      </c>
      <c r="L154" s="2" t="str">
        <f t="shared" si="8"/>
        <v>Sat</v>
      </c>
    </row>
    <row r="155" ht="15.0" customHeight="1">
      <c r="A155" s="4">
        <v>41791.0</v>
      </c>
      <c r="B155" s="2">
        <v>456017.46</v>
      </c>
      <c r="C155" s="2">
        <v>473223.98</v>
      </c>
      <c r="D155" s="2">
        <v>14188.0</v>
      </c>
      <c r="E155" s="5">
        <f t="shared" si="1"/>
        <v>32.1410671</v>
      </c>
      <c r="F155" s="7">
        <f t="shared" si="2"/>
        <v>-0.03773215175</v>
      </c>
      <c r="G155" s="5">
        <f t="shared" si="3"/>
        <v>-1.212751621</v>
      </c>
      <c r="H155" s="7">
        <f t="shared" si="4"/>
        <v>-0.03773215175</v>
      </c>
      <c r="I155" s="2" t="str">
        <f t="shared" si="5"/>
        <v>2014-06</v>
      </c>
      <c r="J155" s="2">
        <f t="shared" si="6"/>
        <v>2014</v>
      </c>
      <c r="K155" s="2">
        <f t="shared" si="7"/>
        <v>1</v>
      </c>
      <c r="L155" s="2" t="str">
        <f t="shared" si="8"/>
        <v>Sun</v>
      </c>
    </row>
    <row r="156" ht="15.0" customHeight="1">
      <c r="A156" s="4">
        <v>41792.0</v>
      </c>
      <c r="B156" s="2">
        <v>425845.2</v>
      </c>
      <c r="C156" s="2">
        <v>442155.99</v>
      </c>
      <c r="D156" s="2">
        <v>13256.0</v>
      </c>
      <c r="E156" s="5">
        <f t="shared" si="1"/>
        <v>32.12471334</v>
      </c>
      <c r="F156" s="7">
        <f t="shared" si="2"/>
        <v>-0.03830215769</v>
      </c>
      <c r="G156" s="5">
        <f t="shared" si="3"/>
        <v>-1.230445836</v>
      </c>
      <c r="H156" s="7">
        <f t="shared" si="4"/>
        <v>-0.03830215769</v>
      </c>
      <c r="I156" s="2" t="str">
        <f t="shared" si="5"/>
        <v>2014-06</v>
      </c>
      <c r="J156" s="2">
        <f t="shared" si="6"/>
        <v>2014</v>
      </c>
      <c r="K156" s="2">
        <f t="shared" si="7"/>
        <v>2</v>
      </c>
      <c r="L156" s="2" t="str">
        <f t="shared" si="8"/>
        <v>Mon</v>
      </c>
    </row>
    <row r="157" ht="15.0" customHeight="1">
      <c r="A157" s="4">
        <v>41793.0</v>
      </c>
      <c r="B157" s="2">
        <v>328217.77</v>
      </c>
      <c r="C157" s="2">
        <v>340913.59</v>
      </c>
      <c r="D157" s="2">
        <v>10223.0</v>
      </c>
      <c r="E157" s="5">
        <f t="shared" si="1"/>
        <v>32.10581727</v>
      </c>
      <c r="F157" s="7">
        <f t="shared" si="2"/>
        <v>-0.03868108665</v>
      </c>
      <c r="G157" s="5">
        <f t="shared" si="3"/>
        <v>-1.2418879</v>
      </c>
      <c r="H157" s="7">
        <f t="shared" si="4"/>
        <v>-0.03868108665</v>
      </c>
      <c r="I157" s="2" t="str">
        <f t="shared" si="5"/>
        <v>2014-06</v>
      </c>
      <c r="J157" s="2">
        <f t="shared" si="6"/>
        <v>2014</v>
      </c>
      <c r="K157" s="2">
        <f t="shared" si="7"/>
        <v>3</v>
      </c>
      <c r="L157" s="2" t="str">
        <f t="shared" si="8"/>
        <v>Tue</v>
      </c>
    </row>
    <row r="158" ht="15.0" customHeight="1">
      <c r="A158" s="4">
        <v>41794.0</v>
      </c>
      <c r="B158" s="2">
        <v>286406.0</v>
      </c>
      <c r="C158" s="2">
        <v>296902.67</v>
      </c>
      <c r="D158" s="2">
        <v>8904.0</v>
      </c>
      <c r="E158" s="5">
        <f t="shared" si="1"/>
        <v>32.16599281</v>
      </c>
      <c r="F158" s="7">
        <f t="shared" si="2"/>
        <v>-0.03664961628</v>
      </c>
      <c r="G158" s="5">
        <f t="shared" si="3"/>
        <v>-1.178871294</v>
      </c>
      <c r="H158" s="7">
        <f t="shared" si="4"/>
        <v>-0.03664961628</v>
      </c>
      <c r="I158" s="2" t="str">
        <f t="shared" si="5"/>
        <v>2014-06</v>
      </c>
      <c r="J158" s="2">
        <f t="shared" si="6"/>
        <v>2014</v>
      </c>
      <c r="K158" s="2">
        <f t="shared" si="7"/>
        <v>4</v>
      </c>
      <c r="L158" s="2" t="str">
        <f t="shared" si="8"/>
        <v>Wed</v>
      </c>
    </row>
    <row r="159" ht="15.0" customHeight="1">
      <c r="A159" s="4">
        <v>41795.0</v>
      </c>
      <c r="B159" s="2">
        <v>184989.89</v>
      </c>
      <c r="C159" s="2">
        <v>192824.89</v>
      </c>
      <c r="D159" s="2">
        <v>5783.0</v>
      </c>
      <c r="E159" s="5">
        <f t="shared" si="1"/>
        <v>31.98856822</v>
      </c>
      <c r="F159" s="7">
        <f t="shared" si="2"/>
        <v>-0.04235366592</v>
      </c>
      <c r="G159" s="5">
        <f t="shared" si="3"/>
        <v>-1.354833132</v>
      </c>
      <c r="H159" s="7">
        <f t="shared" si="4"/>
        <v>-0.04235366592</v>
      </c>
      <c r="I159" s="2" t="str">
        <f t="shared" si="5"/>
        <v>2014-06</v>
      </c>
      <c r="J159" s="2">
        <f t="shared" si="6"/>
        <v>2014</v>
      </c>
      <c r="K159" s="2">
        <f t="shared" si="7"/>
        <v>5</v>
      </c>
      <c r="L159" s="2" t="str">
        <f t="shared" si="8"/>
        <v>Thu</v>
      </c>
    </row>
    <row r="160" ht="15.0" customHeight="1">
      <c r="A160" s="4">
        <v>41796.0</v>
      </c>
      <c r="B160" s="2">
        <v>288118.3</v>
      </c>
      <c r="C160" s="2">
        <v>300213.56</v>
      </c>
      <c r="D160" s="2">
        <v>9005.0</v>
      </c>
      <c r="E160" s="5">
        <f t="shared" si="1"/>
        <v>31.99536924</v>
      </c>
      <c r="F160" s="7">
        <f t="shared" si="2"/>
        <v>-0.04198018661</v>
      </c>
      <c r="G160" s="5">
        <f t="shared" si="3"/>
        <v>-1.343171571</v>
      </c>
      <c r="H160" s="7">
        <f t="shared" si="4"/>
        <v>-0.04198018661</v>
      </c>
      <c r="I160" s="2" t="str">
        <f t="shared" si="5"/>
        <v>2014-06</v>
      </c>
      <c r="J160" s="2">
        <f t="shared" si="6"/>
        <v>2014</v>
      </c>
      <c r="K160" s="2">
        <f t="shared" si="7"/>
        <v>6</v>
      </c>
      <c r="L160" s="2" t="str">
        <f t="shared" si="8"/>
        <v>Fri</v>
      </c>
    </row>
    <row r="161" ht="15.0" customHeight="1">
      <c r="A161" s="4">
        <v>41797.0</v>
      </c>
      <c r="B161" s="2">
        <v>391930.88</v>
      </c>
      <c r="C161" s="2">
        <v>407438.92</v>
      </c>
      <c r="D161" s="2">
        <v>12222.0</v>
      </c>
      <c r="E161" s="5">
        <f t="shared" si="1"/>
        <v>32.06765505</v>
      </c>
      <c r="F161" s="7">
        <f t="shared" si="2"/>
        <v>-0.03956830347</v>
      </c>
      <c r="G161" s="5">
        <f t="shared" si="3"/>
        <v>-1.268862707</v>
      </c>
      <c r="H161" s="7">
        <f t="shared" si="4"/>
        <v>-0.03956830347</v>
      </c>
      <c r="I161" s="2" t="str">
        <f t="shared" si="5"/>
        <v>2014-06</v>
      </c>
      <c r="J161" s="2">
        <f t="shared" si="6"/>
        <v>2014</v>
      </c>
      <c r="K161" s="2">
        <f t="shared" si="7"/>
        <v>7</v>
      </c>
      <c r="L161" s="2" t="str">
        <f t="shared" si="8"/>
        <v>Sat</v>
      </c>
    </row>
    <row r="162" ht="15.0" customHeight="1">
      <c r="A162" s="4">
        <v>41798.0</v>
      </c>
      <c r="B162" s="2">
        <v>193772.58</v>
      </c>
      <c r="C162" s="2">
        <v>201254.71</v>
      </c>
      <c r="D162" s="2">
        <v>6037.0</v>
      </c>
      <c r="E162" s="5">
        <f t="shared" si="1"/>
        <v>32.09749544</v>
      </c>
      <c r="F162" s="7">
        <f t="shared" si="2"/>
        <v>-0.03861294513</v>
      </c>
      <c r="G162" s="5">
        <f t="shared" si="3"/>
        <v>-1.239378831</v>
      </c>
      <c r="H162" s="7">
        <f t="shared" si="4"/>
        <v>-0.03861294513</v>
      </c>
      <c r="I162" s="2" t="str">
        <f t="shared" si="5"/>
        <v>2014-06</v>
      </c>
      <c r="J162" s="2">
        <f t="shared" si="6"/>
        <v>2014</v>
      </c>
      <c r="K162" s="2">
        <f t="shared" si="7"/>
        <v>1</v>
      </c>
      <c r="L162" s="2" t="str">
        <f t="shared" si="8"/>
        <v>Sun</v>
      </c>
    </row>
    <row r="163" ht="15.0" customHeight="1">
      <c r="A163" s="4">
        <v>41799.0</v>
      </c>
      <c r="B163" s="2">
        <v>214177.98</v>
      </c>
      <c r="C163" s="2">
        <v>220255.22</v>
      </c>
      <c r="D163" s="2">
        <v>6607.0</v>
      </c>
      <c r="E163" s="5">
        <f t="shared" si="1"/>
        <v>32.41682761</v>
      </c>
      <c r="F163" s="7">
        <f t="shared" si="2"/>
        <v>-0.02837471901</v>
      </c>
      <c r="G163" s="5">
        <f t="shared" si="3"/>
        <v>-0.9198183745</v>
      </c>
      <c r="H163" s="7">
        <f t="shared" si="4"/>
        <v>-0.02837471901</v>
      </c>
      <c r="I163" s="2" t="str">
        <f t="shared" si="5"/>
        <v>2014-06</v>
      </c>
      <c r="J163" s="2">
        <f t="shared" si="6"/>
        <v>2014</v>
      </c>
      <c r="K163" s="2">
        <f t="shared" si="7"/>
        <v>2</v>
      </c>
      <c r="L163" s="2" t="str">
        <f t="shared" si="8"/>
        <v>Mon</v>
      </c>
    </row>
    <row r="164" ht="15.0" customHeight="1">
      <c r="A164" s="4">
        <v>41800.0</v>
      </c>
      <c r="B164" s="2">
        <v>188334.52</v>
      </c>
      <c r="C164" s="2">
        <v>195254.78</v>
      </c>
      <c r="D164" s="2">
        <v>5857.0</v>
      </c>
      <c r="E164" s="5">
        <f t="shared" si="1"/>
        <v>32.15545843</v>
      </c>
      <c r="F164" s="7">
        <f t="shared" si="2"/>
        <v>-0.03674451184</v>
      </c>
      <c r="G164" s="5">
        <f t="shared" si="3"/>
        <v>-1.181536623</v>
      </c>
      <c r="H164" s="7">
        <f t="shared" si="4"/>
        <v>-0.03674451184</v>
      </c>
      <c r="I164" s="2" t="str">
        <f t="shared" si="5"/>
        <v>2014-06</v>
      </c>
      <c r="J164" s="2">
        <f t="shared" si="6"/>
        <v>2014</v>
      </c>
      <c r="K164" s="2">
        <f t="shared" si="7"/>
        <v>3</v>
      </c>
      <c r="L164" s="2" t="str">
        <f t="shared" si="8"/>
        <v>Tue</v>
      </c>
    </row>
    <row r="165" ht="15.0" customHeight="1">
      <c r="A165" s="4">
        <v>41801.0</v>
      </c>
      <c r="B165" s="2">
        <v>174324.99</v>
      </c>
      <c r="C165" s="2">
        <v>180978.6</v>
      </c>
      <c r="D165" s="2">
        <v>5429.0</v>
      </c>
      <c r="E165" s="5">
        <f t="shared" si="1"/>
        <v>32.10996316</v>
      </c>
      <c r="F165" s="7">
        <f t="shared" si="2"/>
        <v>-0.0381678496</v>
      </c>
      <c r="G165" s="5">
        <f t="shared" si="3"/>
        <v>-1.225568245</v>
      </c>
      <c r="H165" s="7">
        <f t="shared" si="4"/>
        <v>-0.0381678496</v>
      </c>
      <c r="I165" s="2" t="str">
        <f t="shared" si="5"/>
        <v>2014-06</v>
      </c>
      <c r="J165" s="2">
        <f t="shared" si="6"/>
        <v>2014</v>
      </c>
      <c r="K165" s="2">
        <f t="shared" si="7"/>
        <v>4</v>
      </c>
      <c r="L165" s="2" t="str">
        <f t="shared" si="8"/>
        <v>Wed</v>
      </c>
    </row>
    <row r="166" ht="15.0" customHeight="1">
      <c r="A166" s="4">
        <v>41802.0</v>
      </c>
      <c r="B166" s="2">
        <v>200271.56</v>
      </c>
      <c r="C166" s="2">
        <v>207757.7</v>
      </c>
      <c r="D166" s="2">
        <v>6232.0</v>
      </c>
      <c r="E166" s="5">
        <f t="shared" si="1"/>
        <v>32.13600128</v>
      </c>
      <c r="F166" s="7">
        <f t="shared" si="2"/>
        <v>-0.03737994551</v>
      </c>
      <c r="G166" s="5">
        <f t="shared" si="3"/>
        <v>-1.201241977</v>
      </c>
      <c r="H166" s="7">
        <f t="shared" si="4"/>
        <v>-0.03737994551</v>
      </c>
      <c r="I166" s="2" t="str">
        <f t="shared" si="5"/>
        <v>2014-06</v>
      </c>
      <c r="J166" s="2">
        <f t="shared" si="6"/>
        <v>2014</v>
      </c>
      <c r="K166" s="2">
        <f t="shared" si="7"/>
        <v>5</v>
      </c>
      <c r="L166" s="2" t="str">
        <f t="shared" si="8"/>
        <v>Thu</v>
      </c>
    </row>
    <row r="167" ht="15.0" customHeight="1">
      <c r="A167" s="4">
        <v>41803.0</v>
      </c>
      <c r="B167" s="2">
        <v>468701.63</v>
      </c>
      <c r="C167" s="2">
        <v>486180.54</v>
      </c>
      <c r="D167" s="2">
        <v>14585.0</v>
      </c>
      <c r="E167" s="5">
        <f t="shared" si="1"/>
        <v>32.13586767</v>
      </c>
      <c r="F167" s="7">
        <f t="shared" si="2"/>
        <v>-0.03729218949</v>
      </c>
      <c r="G167" s="5">
        <f t="shared" si="3"/>
        <v>-1.198416867</v>
      </c>
      <c r="H167" s="7">
        <f t="shared" si="4"/>
        <v>-0.03729218949</v>
      </c>
      <c r="I167" s="2" t="str">
        <f t="shared" si="5"/>
        <v>2014-06</v>
      </c>
      <c r="J167" s="2">
        <f t="shared" si="6"/>
        <v>2014</v>
      </c>
      <c r="K167" s="2">
        <f t="shared" si="7"/>
        <v>6</v>
      </c>
      <c r="L167" s="2" t="str">
        <f t="shared" si="8"/>
        <v>Fri</v>
      </c>
    </row>
    <row r="168" ht="15.0" customHeight="1">
      <c r="A168" s="4">
        <v>41804.0</v>
      </c>
      <c r="B168" s="2">
        <v>473425.75</v>
      </c>
      <c r="C168" s="2">
        <v>492135.29</v>
      </c>
      <c r="D168" s="2">
        <v>14745.0</v>
      </c>
      <c r="E168" s="5">
        <f t="shared" si="1"/>
        <v>32.10754493</v>
      </c>
      <c r="F168" s="7">
        <f t="shared" si="2"/>
        <v>-0.03951948114</v>
      </c>
      <c r="G168" s="5">
        <f t="shared" si="3"/>
        <v>-1.268873516</v>
      </c>
      <c r="H168" s="7">
        <f t="shared" si="4"/>
        <v>-0.03951948114</v>
      </c>
      <c r="I168" s="2" t="str">
        <f t="shared" si="5"/>
        <v>2014-06</v>
      </c>
      <c r="J168" s="2">
        <f t="shared" si="6"/>
        <v>2014</v>
      </c>
      <c r="K168" s="2">
        <f t="shared" si="7"/>
        <v>7</v>
      </c>
      <c r="L168" s="2" t="str">
        <f t="shared" si="8"/>
        <v>Sat</v>
      </c>
    </row>
    <row r="169" ht="15.0" customHeight="1">
      <c r="A169" s="4">
        <v>41805.0</v>
      </c>
      <c r="B169" s="2">
        <v>224232.12</v>
      </c>
      <c r="C169" s="2">
        <v>233554.03</v>
      </c>
      <c r="D169" s="2">
        <v>6991.0</v>
      </c>
      <c r="E169" s="5">
        <f t="shared" si="1"/>
        <v>32.07439851</v>
      </c>
      <c r="F169" s="7">
        <f t="shared" si="2"/>
        <v>-0.04157259005</v>
      </c>
      <c r="G169" s="5">
        <f t="shared" si="3"/>
        <v>-1.33341582</v>
      </c>
      <c r="H169" s="7">
        <f t="shared" si="4"/>
        <v>-0.04157259005</v>
      </c>
      <c r="I169" s="2" t="str">
        <f t="shared" si="5"/>
        <v>2014-06</v>
      </c>
      <c r="J169" s="2">
        <f t="shared" si="6"/>
        <v>2014</v>
      </c>
      <c r="K169" s="2">
        <f t="shared" si="7"/>
        <v>1</v>
      </c>
      <c r="L169" s="2" t="str">
        <f t="shared" si="8"/>
        <v>Sun</v>
      </c>
    </row>
    <row r="170" ht="15.0" customHeight="1">
      <c r="A170" s="4">
        <v>41806.0</v>
      </c>
      <c r="B170" s="2">
        <v>185606.28</v>
      </c>
      <c r="C170" s="2">
        <v>193340.32</v>
      </c>
      <c r="D170" s="2">
        <v>5788.0</v>
      </c>
      <c r="E170" s="5">
        <f t="shared" si="1"/>
        <v>32.06742916</v>
      </c>
      <c r="F170" s="7">
        <f t="shared" si="2"/>
        <v>-0.04166906421</v>
      </c>
      <c r="G170" s="5">
        <f t="shared" si="3"/>
        <v>-1.336219765</v>
      </c>
      <c r="H170" s="7">
        <f t="shared" si="4"/>
        <v>-0.04166906421</v>
      </c>
      <c r="I170" s="2" t="str">
        <f t="shared" si="5"/>
        <v>2014-06</v>
      </c>
      <c r="J170" s="2">
        <f t="shared" si="6"/>
        <v>2014</v>
      </c>
      <c r="K170" s="2">
        <f t="shared" si="7"/>
        <v>2</v>
      </c>
      <c r="L170" s="2" t="str">
        <f t="shared" si="8"/>
        <v>Mon</v>
      </c>
    </row>
    <row r="171" ht="15.0" customHeight="1">
      <c r="A171" s="4">
        <v>41807.0</v>
      </c>
      <c r="B171" s="2">
        <v>212687.51</v>
      </c>
      <c r="C171" s="2">
        <v>221403.65</v>
      </c>
      <c r="D171" s="2">
        <v>6632.0</v>
      </c>
      <c r="E171" s="5">
        <f t="shared" si="1"/>
        <v>32.06988993</v>
      </c>
      <c r="F171" s="7">
        <f t="shared" si="2"/>
        <v>-0.04098096781</v>
      </c>
      <c r="G171" s="5">
        <f t="shared" si="3"/>
        <v>-1.314255127</v>
      </c>
      <c r="H171" s="7">
        <f t="shared" si="4"/>
        <v>-0.04098096781</v>
      </c>
      <c r="I171" s="2" t="str">
        <f t="shared" si="5"/>
        <v>2014-06</v>
      </c>
      <c r="J171" s="2">
        <f t="shared" si="6"/>
        <v>2014</v>
      </c>
      <c r="K171" s="2">
        <f t="shared" si="7"/>
        <v>3</v>
      </c>
      <c r="L171" s="2" t="str">
        <f t="shared" si="8"/>
        <v>Tue</v>
      </c>
    </row>
    <row r="172" ht="15.0" customHeight="1">
      <c r="A172" s="4">
        <v>41808.0</v>
      </c>
      <c r="B172" s="2">
        <v>184259.69</v>
      </c>
      <c r="C172" s="2">
        <v>192057.51</v>
      </c>
      <c r="D172" s="2">
        <v>5752.0</v>
      </c>
      <c r="E172" s="5">
        <f t="shared" si="1"/>
        <v>32.03402121</v>
      </c>
      <c r="F172" s="7">
        <f t="shared" si="2"/>
        <v>-0.04231972821</v>
      </c>
      <c r="G172" s="5">
        <f t="shared" si="3"/>
        <v>-1.355671071</v>
      </c>
      <c r="H172" s="7">
        <f t="shared" si="4"/>
        <v>-0.04231972821</v>
      </c>
      <c r="I172" s="2" t="str">
        <f t="shared" si="5"/>
        <v>2014-06</v>
      </c>
      <c r="J172" s="2">
        <f t="shared" si="6"/>
        <v>2014</v>
      </c>
      <c r="K172" s="2">
        <f t="shared" si="7"/>
        <v>4</v>
      </c>
      <c r="L172" s="2" t="str">
        <f t="shared" si="8"/>
        <v>Wed</v>
      </c>
    </row>
    <row r="173" ht="15.0" customHeight="1">
      <c r="A173" s="4">
        <v>41809.0</v>
      </c>
      <c r="B173" s="2">
        <v>113735.82</v>
      </c>
      <c r="C173" s="2">
        <v>119544.02</v>
      </c>
      <c r="D173" s="2">
        <v>3578.0</v>
      </c>
      <c r="E173" s="5">
        <f t="shared" si="1"/>
        <v>31.78754053</v>
      </c>
      <c r="F173" s="7">
        <f t="shared" si="2"/>
        <v>-0.05106746494</v>
      </c>
      <c r="G173" s="5">
        <f t="shared" si="3"/>
        <v>-1.623309111</v>
      </c>
      <c r="H173" s="7">
        <f t="shared" si="4"/>
        <v>-0.05106746494</v>
      </c>
      <c r="I173" s="2" t="str">
        <f t="shared" si="5"/>
        <v>2014-06</v>
      </c>
      <c r="J173" s="2">
        <f t="shared" si="6"/>
        <v>2014</v>
      </c>
      <c r="K173" s="2">
        <f t="shared" si="7"/>
        <v>5</v>
      </c>
      <c r="L173" s="2" t="str">
        <f t="shared" si="8"/>
        <v>Thu</v>
      </c>
    </row>
    <row r="174" ht="15.0" customHeight="1">
      <c r="A174" s="4">
        <v>41810.0</v>
      </c>
      <c r="B174" s="2">
        <v>203165.08</v>
      </c>
      <c r="C174" s="2">
        <v>205350.64</v>
      </c>
      <c r="D174" s="2">
        <v>6119.0</v>
      </c>
      <c r="E174" s="5">
        <f t="shared" si="1"/>
        <v>33.20233371</v>
      </c>
      <c r="F174" s="7">
        <f t="shared" si="2"/>
        <v>-0.01075755735</v>
      </c>
      <c r="G174" s="5">
        <f t="shared" si="3"/>
        <v>-0.3571760092</v>
      </c>
      <c r="H174" s="7">
        <f t="shared" si="4"/>
        <v>-0.01075755735</v>
      </c>
      <c r="I174" s="2" t="str">
        <f t="shared" si="5"/>
        <v>2014-06</v>
      </c>
      <c r="J174" s="2">
        <f t="shared" si="6"/>
        <v>2014</v>
      </c>
      <c r="K174" s="2">
        <f t="shared" si="7"/>
        <v>6</v>
      </c>
      <c r="L174" s="2" t="str">
        <f t="shared" si="8"/>
        <v>Fri</v>
      </c>
    </row>
    <row r="175" ht="15.0" customHeight="1">
      <c r="A175" s="4">
        <v>41811.0</v>
      </c>
      <c r="B175" s="2">
        <v>203345.24</v>
      </c>
      <c r="C175" s="2">
        <v>206918.91</v>
      </c>
      <c r="D175" s="2">
        <v>6161.0</v>
      </c>
      <c r="E175" s="5">
        <f t="shared" si="1"/>
        <v>33.00523292</v>
      </c>
      <c r="F175" s="7">
        <f t="shared" si="2"/>
        <v>-0.01757439712</v>
      </c>
      <c r="G175" s="5">
        <f t="shared" si="3"/>
        <v>-0.5800470703</v>
      </c>
      <c r="H175" s="7">
        <f t="shared" si="4"/>
        <v>-0.01757439712</v>
      </c>
      <c r="I175" s="2" t="str">
        <f t="shared" si="5"/>
        <v>2014-06</v>
      </c>
      <c r="J175" s="2">
        <f t="shared" si="6"/>
        <v>2014</v>
      </c>
      <c r="K175" s="2">
        <f t="shared" si="7"/>
        <v>7</v>
      </c>
      <c r="L175" s="2" t="str">
        <f t="shared" si="8"/>
        <v>Sat</v>
      </c>
    </row>
    <row r="176" ht="15.0" customHeight="1">
      <c r="A176" s="4">
        <v>41812.0</v>
      </c>
      <c r="B176" s="2">
        <v>134944.49</v>
      </c>
      <c r="C176" s="2">
        <v>135372.53</v>
      </c>
      <c r="D176" s="2">
        <v>4015.0</v>
      </c>
      <c r="E176" s="5">
        <f t="shared" si="1"/>
        <v>33.61008468</v>
      </c>
      <c r="F176" s="7">
        <f t="shared" si="2"/>
        <v>-0.003171970934</v>
      </c>
      <c r="G176" s="5">
        <f t="shared" si="3"/>
        <v>-0.1066102117</v>
      </c>
      <c r="H176" s="7">
        <f t="shared" si="4"/>
        <v>-0.003171970934</v>
      </c>
      <c r="I176" s="2" t="str">
        <f t="shared" si="5"/>
        <v>2014-06</v>
      </c>
      <c r="J176" s="2">
        <f t="shared" si="6"/>
        <v>2014</v>
      </c>
      <c r="K176" s="2">
        <f t="shared" si="7"/>
        <v>1</v>
      </c>
      <c r="L176" s="2" t="str">
        <f t="shared" si="8"/>
        <v>Sun</v>
      </c>
    </row>
    <row r="177" ht="15.0" customHeight="1">
      <c r="A177" s="4">
        <v>41813.0</v>
      </c>
      <c r="B177" s="2">
        <v>138298.21</v>
      </c>
      <c r="C177" s="2">
        <v>139206.03</v>
      </c>
      <c r="D177" s="2">
        <v>4133.0</v>
      </c>
      <c r="E177" s="5">
        <f t="shared" si="1"/>
        <v>33.4619429</v>
      </c>
      <c r="F177" s="7">
        <f t="shared" si="2"/>
        <v>-0.006564220896</v>
      </c>
      <c r="G177" s="5">
        <f t="shared" si="3"/>
        <v>-0.2196515848</v>
      </c>
      <c r="H177" s="7">
        <f t="shared" si="4"/>
        <v>-0.006564220896</v>
      </c>
      <c r="I177" s="2" t="str">
        <f t="shared" si="5"/>
        <v>2014-06</v>
      </c>
      <c r="J177" s="2">
        <f t="shared" si="6"/>
        <v>2014</v>
      </c>
      <c r="K177" s="2">
        <f t="shared" si="7"/>
        <v>2</v>
      </c>
      <c r="L177" s="2" t="str">
        <f t="shared" si="8"/>
        <v>Mon</v>
      </c>
    </row>
    <row r="178" ht="15.0" customHeight="1">
      <c r="A178" s="4">
        <v>41814.0</v>
      </c>
      <c r="B178" s="2">
        <v>36692.68</v>
      </c>
      <c r="C178" s="2">
        <v>35299.06</v>
      </c>
      <c r="D178" s="2">
        <v>1047.0</v>
      </c>
      <c r="E178" s="5">
        <f t="shared" si="1"/>
        <v>35.04553964</v>
      </c>
      <c r="F178" s="7">
        <f t="shared" si="2"/>
        <v>0.03798087248</v>
      </c>
      <c r="G178" s="5">
        <f t="shared" si="3"/>
        <v>1.331060172</v>
      </c>
      <c r="H178" s="7">
        <f t="shared" si="4"/>
        <v>0.03798087248</v>
      </c>
      <c r="I178" s="2" t="str">
        <f t="shared" si="5"/>
        <v>2014-06</v>
      </c>
      <c r="J178" s="2">
        <f t="shared" si="6"/>
        <v>2014</v>
      </c>
      <c r="K178" s="2">
        <f t="shared" si="7"/>
        <v>3</v>
      </c>
      <c r="L178" s="2" t="str">
        <f t="shared" si="8"/>
        <v>Tue</v>
      </c>
    </row>
    <row r="179" ht="15.0" customHeight="1">
      <c r="A179" s="4">
        <v>41815.0</v>
      </c>
      <c r="B179" s="2">
        <v>56077.54</v>
      </c>
      <c r="C179" s="2">
        <v>53925.26</v>
      </c>
      <c r="D179" s="2">
        <v>1601.0</v>
      </c>
      <c r="E179" s="5">
        <f t="shared" si="1"/>
        <v>35.02657089</v>
      </c>
      <c r="F179" s="7">
        <f t="shared" si="2"/>
        <v>0.03838042824</v>
      </c>
      <c r="G179" s="5">
        <f t="shared" si="3"/>
        <v>1.344334791</v>
      </c>
      <c r="H179" s="7">
        <f t="shared" si="4"/>
        <v>0.03838042824</v>
      </c>
      <c r="I179" s="2" t="str">
        <f t="shared" si="5"/>
        <v>2014-06</v>
      </c>
      <c r="J179" s="2">
        <f t="shared" si="6"/>
        <v>2014</v>
      </c>
      <c r="K179" s="2">
        <f t="shared" si="7"/>
        <v>4</v>
      </c>
      <c r="L179" s="2" t="str">
        <f t="shared" si="8"/>
        <v>Wed</v>
      </c>
    </row>
    <row r="180" ht="15.0" customHeight="1">
      <c r="A180" s="4">
        <v>41816.0</v>
      </c>
      <c r="B180" s="2">
        <v>55780.71</v>
      </c>
      <c r="C180" s="2">
        <v>53688.24</v>
      </c>
      <c r="D180" s="2">
        <v>1592.0</v>
      </c>
      <c r="E180" s="5">
        <f t="shared" si="1"/>
        <v>35.03813442</v>
      </c>
      <c r="F180" s="7">
        <f t="shared" si="2"/>
        <v>0.03751243037</v>
      </c>
      <c r="G180" s="5">
        <f t="shared" si="3"/>
        <v>1.314365578</v>
      </c>
      <c r="H180" s="7">
        <f t="shared" si="4"/>
        <v>0.03751243037</v>
      </c>
      <c r="I180" s="2" t="str">
        <f t="shared" si="5"/>
        <v>2014-06</v>
      </c>
      <c r="J180" s="2">
        <f t="shared" si="6"/>
        <v>2014</v>
      </c>
      <c r="K180" s="2">
        <f t="shared" si="7"/>
        <v>5</v>
      </c>
      <c r="L180" s="2" t="str">
        <f t="shared" si="8"/>
        <v>Thu</v>
      </c>
    </row>
    <row r="181" ht="15.0" customHeight="1">
      <c r="A181" s="4">
        <v>41817.0</v>
      </c>
      <c r="B181" s="2">
        <v>131721.24</v>
      </c>
      <c r="C181" s="2">
        <v>127302.43</v>
      </c>
      <c r="D181" s="2">
        <v>3759.0</v>
      </c>
      <c r="E181" s="5">
        <f t="shared" si="1"/>
        <v>35.04156425</v>
      </c>
      <c r="F181" s="7">
        <f t="shared" si="2"/>
        <v>0.03354667782</v>
      </c>
      <c r="G181" s="5">
        <f t="shared" si="3"/>
        <v>1.175528066</v>
      </c>
      <c r="H181" s="7">
        <f t="shared" si="4"/>
        <v>0.03354667782</v>
      </c>
      <c r="I181" s="2" t="str">
        <f t="shared" si="5"/>
        <v>2014-06</v>
      </c>
      <c r="J181" s="2">
        <f t="shared" si="6"/>
        <v>2014</v>
      </c>
      <c r="K181" s="2">
        <f t="shared" si="7"/>
        <v>6</v>
      </c>
      <c r="L181" s="2" t="str">
        <f t="shared" si="8"/>
        <v>Fri</v>
      </c>
    </row>
    <row r="182" ht="15.0" customHeight="1">
      <c r="A182" s="4">
        <v>41818.0</v>
      </c>
      <c r="B182" s="2">
        <v>146169.08</v>
      </c>
      <c r="C182" s="2">
        <v>141012.33</v>
      </c>
      <c r="D182" s="2">
        <v>4172.0</v>
      </c>
      <c r="E182" s="5">
        <f t="shared" si="1"/>
        <v>35.03573346</v>
      </c>
      <c r="F182" s="7">
        <f t="shared" si="2"/>
        <v>0.03527934909</v>
      </c>
      <c r="G182" s="5">
        <f t="shared" si="3"/>
        <v>1.236037872</v>
      </c>
      <c r="H182" s="7">
        <f t="shared" si="4"/>
        <v>0.03527934909</v>
      </c>
      <c r="I182" s="2" t="str">
        <f t="shared" si="5"/>
        <v>2014-06</v>
      </c>
      <c r="J182" s="2">
        <f t="shared" si="6"/>
        <v>2014</v>
      </c>
      <c r="K182" s="2">
        <f t="shared" si="7"/>
        <v>7</v>
      </c>
      <c r="L182" s="2" t="str">
        <f t="shared" si="8"/>
        <v>Sat</v>
      </c>
    </row>
    <row r="183" ht="15.0" customHeight="1">
      <c r="A183" s="4">
        <v>41819.0</v>
      </c>
      <c r="B183" s="2">
        <v>62073.59</v>
      </c>
      <c r="C183" s="2">
        <v>60083.87</v>
      </c>
      <c r="D183" s="2">
        <v>1772.0</v>
      </c>
      <c r="E183" s="5">
        <f t="shared" si="1"/>
        <v>35.03024266</v>
      </c>
      <c r="F183" s="7">
        <f t="shared" si="2"/>
        <v>0.03205421178</v>
      </c>
      <c r="G183" s="5">
        <f t="shared" si="3"/>
        <v>1.122866817</v>
      </c>
      <c r="H183" s="7">
        <f t="shared" si="4"/>
        <v>0.03205421178</v>
      </c>
      <c r="I183" s="2" t="str">
        <f t="shared" si="5"/>
        <v>2014-06</v>
      </c>
      <c r="J183" s="2">
        <f t="shared" si="6"/>
        <v>2014</v>
      </c>
      <c r="K183" s="2">
        <f t="shared" si="7"/>
        <v>1</v>
      </c>
      <c r="L183" s="2" t="str">
        <f t="shared" si="8"/>
        <v>Sun</v>
      </c>
    </row>
    <row r="184" ht="15.0" customHeight="1">
      <c r="A184" s="4">
        <v>41820.0</v>
      </c>
      <c r="B184" s="2">
        <v>93619.85</v>
      </c>
      <c r="C184" s="2">
        <v>90294.38</v>
      </c>
      <c r="D184" s="2">
        <v>2672.0</v>
      </c>
      <c r="E184" s="5">
        <f t="shared" si="1"/>
        <v>35.03736901</v>
      </c>
      <c r="F184" s="7">
        <f t="shared" si="2"/>
        <v>0.03552099261</v>
      </c>
      <c r="G184" s="5">
        <f t="shared" si="3"/>
        <v>1.244562126</v>
      </c>
      <c r="H184" s="7">
        <f t="shared" si="4"/>
        <v>0.03552099261</v>
      </c>
      <c r="I184" s="2" t="str">
        <f t="shared" si="5"/>
        <v>2014-06</v>
      </c>
      <c r="J184" s="2">
        <f t="shared" si="6"/>
        <v>2014</v>
      </c>
      <c r="K184" s="2">
        <f t="shared" si="7"/>
        <v>2</v>
      </c>
      <c r="L184" s="2" t="str">
        <f t="shared" si="8"/>
        <v>Mon</v>
      </c>
    </row>
    <row r="185" ht="15.0" customHeight="1">
      <c r="A185" s="4">
        <v>41821.0</v>
      </c>
      <c r="B185" s="2">
        <v>180183.03</v>
      </c>
      <c r="C185" s="2">
        <v>173842.92</v>
      </c>
      <c r="D185" s="2">
        <v>5143.0</v>
      </c>
      <c r="E185" s="5">
        <f t="shared" si="1"/>
        <v>35.03461598</v>
      </c>
      <c r="F185" s="7">
        <f t="shared" si="2"/>
        <v>0.03518705396</v>
      </c>
      <c r="G185" s="5">
        <f t="shared" si="3"/>
        <v>1.232764923</v>
      </c>
      <c r="H185" s="7">
        <f t="shared" si="4"/>
        <v>0.03518705396</v>
      </c>
      <c r="I185" s="2" t="str">
        <f t="shared" si="5"/>
        <v>2014-07</v>
      </c>
      <c r="J185" s="2">
        <f t="shared" si="6"/>
        <v>2014</v>
      </c>
      <c r="K185" s="2">
        <f t="shared" si="7"/>
        <v>3</v>
      </c>
      <c r="L185" s="2" t="str">
        <f t="shared" si="8"/>
        <v>Tue</v>
      </c>
    </row>
    <row r="186" ht="15.0" customHeight="1">
      <c r="A186" s="4">
        <v>41822.0</v>
      </c>
      <c r="B186" s="2">
        <v>104760.71</v>
      </c>
      <c r="C186" s="2">
        <v>101615.73</v>
      </c>
      <c r="D186" s="2">
        <v>2990.0</v>
      </c>
      <c r="E186" s="5">
        <f t="shared" si="1"/>
        <v>35.03702676</v>
      </c>
      <c r="F186" s="7">
        <f t="shared" si="2"/>
        <v>0.03002060601</v>
      </c>
      <c r="G186" s="5">
        <f t="shared" si="3"/>
        <v>1.051832776</v>
      </c>
      <c r="H186" s="7">
        <f t="shared" si="4"/>
        <v>0.03002060601</v>
      </c>
      <c r="I186" s="2" t="str">
        <f t="shared" si="5"/>
        <v>2014-07</v>
      </c>
      <c r="J186" s="2">
        <f t="shared" si="6"/>
        <v>2014</v>
      </c>
      <c r="K186" s="2">
        <f t="shared" si="7"/>
        <v>4</v>
      </c>
      <c r="L186" s="2" t="str">
        <f t="shared" si="8"/>
        <v>Wed</v>
      </c>
    </row>
    <row r="187" ht="15.0" customHeight="1">
      <c r="A187" s="4">
        <v>41823.0</v>
      </c>
      <c r="B187" s="2">
        <v>93450.53</v>
      </c>
      <c r="C187" s="2">
        <v>90927.09</v>
      </c>
      <c r="D187" s="2">
        <v>2667.0</v>
      </c>
      <c r="E187" s="5">
        <f t="shared" si="1"/>
        <v>35.0395688</v>
      </c>
      <c r="F187" s="7">
        <f t="shared" si="2"/>
        <v>0.02700295012</v>
      </c>
      <c r="G187" s="5">
        <f t="shared" si="3"/>
        <v>0.9461717285</v>
      </c>
      <c r="H187" s="7">
        <f t="shared" si="4"/>
        <v>0.02700295012</v>
      </c>
      <c r="I187" s="2" t="str">
        <f t="shared" si="5"/>
        <v>2014-07</v>
      </c>
      <c r="J187" s="2">
        <f t="shared" si="6"/>
        <v>2014</v>
      </c>
      <c r="K187" s="2">
        <f t="shared" si="7"/>
        <v>5</v>
      </c>
      <c r="L187" s="2" t="str">
        <f t="shared" si="8"/>
        <v>Thu</v>
      </c>
    </row>
    <row r="188" ht="15.0" customHeight="1">
      <c r="A188" s="4">
        <v>41824.0</v>
      </c>
      <c r="B188" s="2">
        <v>98087.56</v>
      </c>
      <c r="C188" s="2">
        <v>95423.27</v>
      </c>
      <c r="D188" s="2">
        <v>2799.0</v>
      </c>
      <c r="E188" s="5">
        <f t="shared" si="1"/>
        <v>35.04378707</v>
      </c>
      <c r="F188" s="7">
        <f t="shared" si="2"/>
        <v>0.02716236391</v>
      </c>
      <c r="G188" s="5">
        <f t="shared" si="3"/>
        <v>0.9518720972</v>
      </c>
      <c r="H188" s="7">
        <f t="shared" si="4"/>
        <v>0.02716236391</v>
      </c>
      <c r="I188" s="2" t="str">
        <f t="shared" si="5"/>
        <v>2014-07</v>
      </c>
      <c r="J188" s="2">
        <f t="shared" si="6"/>
        <v>2014</v>
      </c>
      <c r="K188" s="2">
        <f t="shared" si="7"/>
        <v>6</v>
      </c>
      <c r="L188" s="2" t="str">
        <f t="shared" si="8"/>
        <v>Fri</v>
      </c>
    </row>
    <row r="189" ht="15.0" customHeight="1">
      <c r="A189" s="4">
        <v>41825.0</v>
      </c>
      <c r="B189" s="2">
        <v>117562.26</v>
      </c>
      <c r="C189" s="2">
        <v>114395.63</v>
      </c>
      <c r="D189" s="2">
        <v>3355.0</v>
      </c>
      <c r="E189" s="5">
        <f t="shared" si="1"/>
        <v>35.04091207</v>
      </c>
      <c r="F189" s="7">
        <f t="shared" si="2"/>
        <v>0.02693577003</v>
      </c>
      <c r="G189" s="5">
        <f t="shared" si="3"/>
        <v>0.9438539493</v>
      </c>
      <c r="H189" s="7">
        <f t="shared" si="4"/>
        <v>0.02693577003</v>
      </c>
      <c r="I189" s="2" t="str">
        <f t="shared" si="5"/>
        <v>2014-07</v>
      </c>
      <c r="J189" s="2">
        <f t="shared" si="6"/>
        <v>2014</v>
      </c>
      <c r="K189" s="2">
        <f t="shared" si="7"/>
        <v>7</v>
      </c>
      <c r="L189" s="2" t="str">
        <f t="shared" si="8"/>
        <v>Sat</v>
      </c>
    </row>
    <row r="190" ht="15.0" customHeight="1">
      <c r="A190" s="4">
        <v>41826.0</v>
      </c>
      <c r="B190" s="2">
        <v>70153.08</v>
      </c>
      <c r="C190" s="2">
        <v>68252.24</v>
      </c>
      <c r="D190" s="2">
        <v>2002.0</v>
      </c>
      <c r="E190" s="5">
        <f t="shared" si="1"/>
        <v>35.0414985</v>
      </c>
      <c r="F190" s="7">
        <f t="shared" si="2"/>
        <v>0.02709560293</v>
      </c>
      <c r="G190" s="5">
        <f t="shared" si="3"/>
        <v>0.9494705295</v>
      </c>
      <c r="H190" s="7">
        <f t="shared" si="4"/>
        <v>0.02709560293</v>
      </c>
      <c r="I190" s="2" t="str">
        <f t="shared" si="5"/>
        <v>2014-07</v>
      </c>
      <c r="J190" s="2">
        <f t="shared" si="6"/>
        <v>2014</v>
      </c>
      <c r="K190" s="2">
        <f t="shared" si="7"/>
        <v>1</v>
      </c>
      <c r="L190" s="2" t="str">
        <f t="shared" si="8"/>
        <v>Sun</v>
      </c>
    </row>
    <row r="191" ht="15.0" customHeight="1">
      <c r="A191" s="4">
        <v>41827.0</v>
      </c>
      <c r="B191" s="2">
        <v>68918.42</v>
      </c>
      <c r="C191" s="2">
        <v>66990.88</v>
      </c>
      <c r="D191" s="2">
        <v>1967.0</v>
      </c>
      <c r="E191" s="5">
        <f t="shared" si="1"/>
        <v>35.03732588</v>
      </c>
      <c r="F191" s="7">
        <f t="shared" si="2"/>
        <v>0.02796842992</v>
      </c>
      <c r="G191" s="5">
        <f t="shared" si="3"/>
        <v>0.9799389934</v>
      </c>
      <c r="H191" s="7">
        <f t="shared" si="4"/>
        <v>0.02796842992</v>
      </c>
      <c r="I191" s="2" t="str">
        <f t="shared" si="5"/>
        <v>2014-07</v>
      </c>
      <c r="J191" s="2">
        <f t="shared" si="6"/>
        <v>2014</v>
      </c>
      <c r="K191" s="2">
        <f t="shared" si="7"/>
        <v>2</v>
      </c>
      <c r="L191" s="2" t="str">
        <f t="shared" si="8"/>
        <v>Mon</v>
      </c>
    </row>
    <row r="192" ht="15.0" customHeight="1">
      <c r="A192" s="4">
        <v>41828.0</v>
      </c>
      <c r="B192" s="2">
        <v>108417.4</v>
      </c>
      <c r="C192" s="2">
        <v>105373.3</v>
      </c>
      <c r="D192" s="2">
        <v>3094.0</v>
      </c>
      <c r="E192" s="5">
        <f t="shared" si="1"/>
        <v>35.04117647</v>
      </c>
      <c r="F192" s="7">
        <f t="shared" si="2"/>
        <v>0.0280775964</v>
      </c>
      <c r="G192" s="5">
        <f t="shared" si="3"/>
        <v>0.9838720103</v>
      </c>
      <c r="H192" s="7">
        <f t="shared" si="4"/>
        <v>0.0280775964</v>
      </c>
      <c r="I192" s="2" t="str">
        <f t="shared" si="5"/>
        <v>2014-07</v>
      </c>
      <c r="J192" s="2">
        <f t="shared" si="6"/>
        <v>2014</v>
      </c>
      <c r="K192" s="2">
        <f t="shared" si="7"/>
        <v>3</v>
      </c>
      <c r="L192" s="2" t="str">
        <f t="shared" si="8"/>
        <v>Tue</v>
      </c>
    </row>
    <row r="193" ht="15.0" customHeight="1">
      <c r="A193" s="4">
        <v>41829.0</v>
      </c>
      <c r="B193" s="2">
        <v>81802.61</v>
      </c>
      <c r="C193" s="2">
        <v>79496.49</v>
      </c>
      <c r="D193" s="2">
        <v>2335.0</v>
      </c>
      <c r="E193" s="5">
        <f t="shared" si="1"/>
        <v>35.03323769</v>
      </c>
      <c r="F193" s="7">
        <f t="shared" si="2"/>
        <v>0.02819127654</v>
      </c>
      <c r="G193" s="5">
        <f t="shared" si="3"/>
        <v>0.9876316916</v>
      </c>
      <c r="H193" s="7">
        <f t="shared" si="4"/>
        <v>0.02819127654</v>
      </c>
      <c r="I193" s="2" t="str">
        <f t="shared" si="5"/>
        <v>2014-07</v>
      </c>
      <c r="J193" s="2">
        <f t="shared" si="6"/>
        <v>2014</v>
      </c>
      <c r="K193" s="2">
        <f t="shared" si="7"/>
        <v>4</v>
      </c>
      <c r="L193" s="2" t="str">
        <f t="shared" si="8"/>
        <v>Wed</v>
      </c>
    </row>
    <row r="194" ht="15.0" customHeight="1">
      <c r="A194" s="4">
        <v>41830.0</v>
      </c>
      <c r="B194" s="2">
        <v>103998.56</v>
      </c>
      <c r="C194" s="2">
        <v>101270.97</v>
      </c>
      <c r="D194" s="2">
        <v>2968.0</v>
      </c>
      <c r="E194" s="5">
        <f t="shared" si="1"/>
        <v>35.03994609</v>
      </c>
      <c r="F194" s="7">
        <f t="shared" si="2"/>
        <v>0.02622719007</v>
      </c>
      <c r="G194" s="5">
        <f t="shared" si="3"/>
        <v>0.9189993261</v>
      </c>
      <c r="H194" s="7">
        <f t="shared" si="4"/>
        <v>0.02622719007</v>
      </c>
      <c r="I194" s="2" t="str">
        <f t="shared" si="5"/>
        <v>2014-07</v>
      </c>
      <c r="J194" s="2">
        <f t="shared" si="6"/>
        <v>2014</v>
      </c>
      <c r="K194" s="2">
        <f t="shared" si="7"/>
        <v>5</v>
      </c>
      <c r="L194" s="2" t="str">
        <f t="shared" si="8"/>
        <v>Thu</v>
      </c>
    </row>
    <row r="195" ht="15.0" customHeight="1">
      <c r="A195" s="4">
        <v>41831.0</v>
      </c>
      <c r="B195" s="2">
        <v>134018.09</v>
      </c>
      <c r="C195" s="2">
        <v>130633.26</v>
      </c>
      <c r="D195" s="2">
        <v>3825.0</v>
      </c>
      <c r="E195" s="5">
        <f t="shared" si="1"/>
        <v>35.03740915</v>
      </c>
      <c r="F195" s="7">
        <f t="shared" si="2"/>
        <v>0.02525651574</v>
      </c>
      <c r="G195" s="5">
        <f t="shared" si="3"/>
        <v>0.8849228758</v>
      </c>
      <c r="H195" s="7">
        <f t="shared" si="4"/>
        <v>0.02525651574</v>
      </c>
      <c r="I195" s="2" t="str">
        <f t="shared" si="5"/>
        <v>2014-07</v>
      </c>
      <c r="J195" s="2">
        <f t="shared" si="6"/>
        <v>2014</v>
      </c>
      <c r="K195" s="2">
        <f t="shared" si="7"/>
        <v>6</v>
      </c>
      <c r="L195" s="2" t="str">
        <f t="shared" si="8"/>
        <v>Fri</v>
      </c>
    </row>
    <row r="196" ht="15.0" customHeight="1">
      <c r="A196" s="4">
        <v>41832.0</v>
      </c>
      <c r="B196" s="2">
        <v>99277.3</v>
      </c>
      <c r="C196" s="2">
        <v>96688.5</v>
      </c>
      <c r="D196" s="2">
        <v>2833.0</v>
      </c>
      <c r="E196" s="5">
        <f t="shared" si="1"/>
        <v>35.04316978</v>
      </c>
      <c r="F196" s="7">
        <f t="shared" si="2"/>
        <v>0.02607645454</v>
      </c>
      <c r="G196" s="5">
        <f t="shared" si="3"/>
        <v>0.9138016237</v>
      </c>
      <c r="H196" s="7">
        <f t="shared" si="4"/>
        <v>0.02607645454</v>
      </c>
      <c r="I196" s="2" t="str">
        <f t="shared" si="5"/>
        <v>2014-07</v>
      </c>
      <c r="J196" s="2">
        <f t="shared" si="6"/>
        <v>2014</v>
      </c>
      <c r="K196" s="2">
        <f t="shared" si="7"/>
        <v>7</v>
      </c>
      <c r="L196" s="2" t="str">
        <f t="shared" si="8"/>
        <v>Sat</v>
      </c>
    </row>
    <row r="197" ht="15.0" customHeight="1">
      <c r="A197" s="4">
        <v>41833.0</v>
      </c>
      <c r="B197" s="2">
        <v>49705.23</v>
      </c>
      <c r="C197" s="2">
        <v>48370.31</v>
      </c>
      <c r="D197" s="2">
        <v>1419.0</v>
      </c>
      <c r="E197" s="5">
        <f t="shared" si="1"/>
        <v>35.02835095</v>
      </c>
      <c r="F197" s="7">
        <f t="shared" si="2"/>
        <v>0.02685673117</v>
      </c>
      <c r="G197" s="5">
        <f t="shared" si="3"/>
        <v>0.9407470049</v>
      </c>
      <c r="H197" s="7">
        <f t="shared" si="4"/>
        <v>0.02685673117</v>
      </c>
      <c r="I197" s="2" t="str">
        <f t="shared" si="5"/>
        <v>2014-07</v>
      </c>
      <c r="J197" s="2">
        <f t="shared" si="6"/>
        <v>2014</v>
      </c>
      <c r="K197" s="2">
        <f t="shared" si="7"/>
        <v>1</v>
      </c>
      <c r="L197" s="2" t="str">
        <f t="shared" si="8"/>
        <v>Sun</v>
      </c>
    </row>
    <row r="198" ht="15.0" customHeight="1">
      <c r="A198" s="4">
        <v>41834.0</v>
      </c>
      <c r="B198" s="2">
        <v>75384.57</v>
      </c>
      <c r="C198" s="2">
        <v>73393.45</v>
      </c>
      <c r="D198" s="2">
        <v>2151.0</v>
      </c>
      <c r="E198" s="5">
        <f t="shared" si="1"/>
        <v>35.0462901</v>
      </c>
      <c r="F198" s="7">
        <f t="shared" si="2"/>
        <v>0.02641283223</v>
      </c>
      <c r="G198" s="5">
        <f t="shared" si="3"/>
        <v>0.9256717806</v>
      </c>
      <c r="H198" s="7">
        <f t="shared" si="4"/>
        <v>0.02641283223</v>
      </c>
      <c r="I198" s="2" t="str">
        <f t="shared" si="5"/>
        <v>2014-07</v>
      </c>
      <c r="J198" s="2">
        <f t="shared" si="6"/>
        <v>2014</v>
      </c>
      <c r="K198" s="2">
        <f t="shared" si="7"/>
        <v>2</v>
      </c>
      <c r="L198" s="2" t="str">
        <f t="shared" si="8"/>
        <v>Mon</v>
      </c>
    </row>
    <row r="199" ht="15.0" customHeight="1">
      <c r="A199" s="4">
        <v>41835.0</v>
      </c>
      <c r="B199" s="2">
        <v>110288.23</v>
      </c>
      <c r="C199" s="2">
        <v>107437.38</v>
      </c>
      <c r="D199" s="2">
        <v>3148.0</v>
      </c>
      <c r="E199" s="5">
        <f t="shared" si="1"/>
        <v>35.03438056</v>
      </c>
      <c r="F199" s="7">
        <f t="shared" si="2"/>
        <v>0.02584908653</v>
      </c>
      <c r="G199" s="5">
        <f t="shared" si="3"/>
        <v>0.9056067344</v>
      </c>
      <c r="H199" s="7">
        <f t="shared" si="4"/>
        <v>0.02584908653</v>
      </c>
      <c r="I199" s="2" t="str">
        <f t="shared" si="5"/>
        <v>2014-07</v>
      </c>
      <c r="J199" s="2">
        <f t="shared" si="6"/>
        <v>2014</v>
      </c>
      <c r="K199" s="2">
        <f t="shared" si="7"/>
        <v>3</v>
      </c>
      <c r="L199" s="2" t="str">
        <f t="shared" si="8"/>
        <v>Tue</v>
      </c>
    </row>
    <row r="200" ht="15.0" customHeight="1">
      <c r="A200" s="4">
        <v>41836.0</v>
      </c>
      <c r="B200" s="2">
        <v>156536.69</v>
      </c>
      <c r="C200" s="2">
        <v>164641.35</v>
      </c>
      <c r="D200" s="2">
        <v>4825.0</v>
      </c>
      <c r="E200" s="5">
        <f t="shared" si="1"/>
        <v>32.44283731</v>
      </c>
      <c r="F200" s="7">
        <f t="shared" si="2"/>
        <v>-0.05177482672</v>
      </c>
      <c r="G200" s="5">
        <f t="shared" si="3"/>
        <v>-1.67972228</v>
      </c>
      <c r="H200" s="7">
        <f t="shared" si="4"/>
        <v>-0.05177482672</v>
      </c>
      <c r="I200" s="2" t="str">
        <f t="shared" si="5"/>
        <v>2014-07</v>
      </c>
      <c r="J200" s="2">
        <f t="shared" si="6"/>
        <v>2014</v>
      </c>
      <c r="K200" s="2">
        <f t="shared" si="7"/>
        <v>4</v>
      </c>
      <c r="L200" s="2" t="str">
        <f t="shared" si="8"/>
        <v>Wed</v>
      </c>
    </row>
    <row r="201" ht="15.0" customHeight="1">
      <c r="A201" s="4">
        <v>41837.0</v>
      </c>
      <c r="B201" s="2">
        <v>80823.06</v>
      </c>
      <c r="C201" s="2">
        <v>78844.86</v>
      </c>
      <c r="D201" s="2">
        <v>2307.0</v>
      </c>
      <c r="E201" s="5">
        <f t="shared" si="1"/>
        <v>35.03383615</v>
      </c>
      <c r="F201" s="7">
        <f t="shared" si="2"/>
        <v>0.024475688</v>
      </c>
      <c r="G201" s="5">
        <f t="shared" si="3"/>
        <v>0.8574772432</v>
      </c>
      <c r="H201" s="7">
        <f t="shared" si="4"/>
        <v>0.024475688</v>
      </c>
      <c r="I201" s="2" t="str">
        <f t="shared" si="5"/>
        <v>2014-07</v>
      </c>
      <c r="J201" s="2">
        <f t="shared" si="6"/>
        <v>2014</v>
      </c>
      <c r="K201" s="2">
        <f t="shared" si="7"/>
        <v>5</v>
      </c>
      <c r="L201" s="2" t="str">
        <f t="shared" si="8"/>
        <v>Thu</v>
      </c>
    </row>
    <row r="202" ht="15.0" customHeight="1">
      <c r="A202" s="4">
        <v>41838.0</v>
      </c>
      <c r="B202" s="2">
        <v>124615.69</v>
      </c>
      <c r="C202" s="2">
        <v>121612.18</v>
      </c>
      <c r="D202" s="2">
        <v>3557.0</v>
      </c>
      <c r="E202" s="5">
        <f t="shared" si="1"/>
        <v>35.03393028</v>
      </c>
      <c r="F202" s="7">
        <f t="shared" si="2"/>
        <v>0.02410218168</v>
      </c>
      <c r="G202" s="5">
        <f t="shared" si="3"/>
        <v>0.8443941524</v>
      </c>
      <c r="H202" s="7">
        <f t="shared" si="4"/>
        <v>0.02410218168</v>
      </c>
      <c r="I202" s="2" t="str">
        <f t="shared" si="5"/>
        <v>2014-07</v>
      </c>
      <c r="J202" s="2">
        <f t="shared" si="6"/>
        <v>2014</v>
      </c>
      <c r="K202" s="2">
        <f t="shared" si="7"/>
        <v>6</v>
      </c>
      <c r="L202" s="2" t="str">
        <f t="shared" si="8"/>
        <v>Fri</v>
      </c>
    </row>
    <row r="203" ht="15.0" customHeight="1">
      <c r="A203" s="4">
        <v>41839.0</v>
      </c>
      <c r="B203" s="2">
        <v>242758.95</v>
      </c>
      <c r="C203" s="2">
        <v>255779.85</v>
      </c>
      <c r="D203" s="2">
        <v>7485.0</v>
      </c>
      <c r="E203" s="5">
        <f t="shared" si="1"/>
        <v>32.43272545</v>
      </c>
      <c r="F203" s="7">
        <f t="shared" si="2"/>
        <v>-0.05363715735</v>
      </c>
      <c r="G203" s="5">
        <f t="shared" si="3"/>
        <v>-1.739599198</v>
      </c>
      <c r="H203" s="7">
        <f t="shared" si="4"/>
        <v>-0.05363715735</v>
      </c>
      <c r="I203" s="2" t="str">
        <f t="shared" si="5"/>
        <v>2014-07</v>
      </c>
      <c r="J203" s="2">
        <f t="shared" si="6"/>
        <v>2014</v>
      </c>
      <c r="K203" s="2">
        <f t="shared" si="7"/>
        <v>7</v>
      </c>
      <c r="L203" s="2" t="str">
        <f t="shared" si="8"/>
        <v>Sat</v>
      </c>
    </row>
    <row r="204" ht="15.0" customHeight="1">
      <c r="A204" s="4">
        <v>41840.0</v>
      </c>
      <c r="B204" s="2">
        <v>85078.24</v>
      </c>
      <c r="C204" s="2">
        <v>83020.51</v>
      </c>
      <c r="D204" s="2">
        <v>2428.0</v>
      </c>
      <c r="E204" s="5">
        <f t="shared" si="1"/>
        <v>35.04046129</v>
      </c>
      <c r="F204" s="7">
        <f t="shared" si="2"/>
        <v>0.02418632543</v>
      </c>
      <c r="G204" s="5">
        <f t="shared" si="3"/>
        <v>0.8475</v>
      </c>
      <c r="H204" s="7">
        <f t="shared" si="4"/>
        <v>0.02418632543</v>
      </c>
      <c r="I204" s="2" t="str">
        <f t="shared" si="5"/>
        <v>2014-07</v>
      </c>
      <c r="J204" s="2">
        <f t="shared" si="6"/>
        <v>2014</v>
      </c>
      <c r="K204" s="2">
        <f t="shared" si="7"/>
        <v>1</v>
      </c>
      <c r="L204" s="2" t="str">
        <f t="shared" si="8"/>
        <v>Sun</v>
      </c>
    </row>
    <row r="205" ht="15.0" customHeight="1">
      <c r="A205" s="4">
        <v>41841.0</v>
      </c>
      <c r="B205" s="2">
        <v>86738.07</v>
      </c>
      <c r="C205" s="2">
        <v>84643.27</v>
      </c>
      <c r="D205" s="2">
        <v>2475.0</v>
      </c>
      <c r="E205" s="5">
        <f t="shared" si="1"/>
        <v>35.04568485</v>
      </c>
      <c r="F205" s="7">
        <f t="shared" si="2"/>
        <v>0.0241508717</v>
      </c>
      <c r="G205" s="5">
        <f t="shared" si="3"/>
        <v>0.8463838384</v>
      </c>
      <c r="H205" s="7">
        <f t="shared" si="4"/>
        <v>0.0241508717</v>
      </c>
      <c r="I205" s="2" t="str">
        <f t="shared" si="5"/>
        <v>2014-07</v>
      </c>
      <c r="J205" s="2">
        <f t="shared" si="6"/>
        <v>2014</v>
      </c>
      <c r="K205" s="2">
        <f t="shared" si="7"/>
        <v>2</v>
      </c>
      <c r="L205" s="2" t="str">
        <f t="shared" si="8"/>
        <v>Mon</v>
      </c>
    </row>
    <row r="206" ht="15.0" customHeight="1">
      <c r="A206" s="4">
        <v>41842.0</v>
      </c>
      <c r="B206" s="2">
        <v>56673.62</v>
      </c>
      <c r="C206" s="2">
        <v>55278.71</v>
      </c>
      <c r="D206" s="2">
        <v>1618.0</v>
      </c>
      <c r="E206" s="5">
        <f t="shared" si="1"/>
        <v>35.02695921</v>
      </c>
      <c r="F206" s="7">
        <f t="shared" si="2"/>
        <v>0.02461303866</v>
      </c>
      <c r="G206" s="5">
        <f t="shared" si="3"/>
        <v>0.8621199011</v>
      </c>
      <c r="H206" s="7">
        <f t="shared" si="4"/>
        <v>0.02461303866</v>
      </c>
      <c r="I206" s="2" t="str">
        <f t="shared" si="5"/>
        <v>2014-07</v>
      </c>
      <c r="J206" s="2">
        <f t="shared" si="6"/>
        <v>2014</v>
      </c>
      <c r="K206" s="2">
        <f t="shared" si="7"/>
        <v>3</v>
      </c>
      <c r="L206" s="2" t="str">
        <f t="shared" si="8"/>
        <v>Tue</v>
      </c>
    </row>
    <row r="207" ht="15.0" customHeight="1">
      <c r="A207" s="4">
        <v>41843.0</v>
      </c>
      <c r="B207" s="2">
        <v>165742.17</v>
      </c>
      <c r="C207" s="2">
        <v>173725.36</v>
      </c>
      <c r="D207" s="2">
        <v>5106.0</v>
      </c>
      <c r="E207" s="5">
        <f t="shared" si="1"/>
        <v>32.46027615</v>
      </c>
      <c r="F207" s="7">
        <f t="shared" si="2"/>
        <v>-0.0481663176</v>
      </c>
      <c r="G207" s="5">
        <f t="shared" si="3"/>
        <v>-1.56349197</v>
      </c>
      <c r="H207" s="7">
        <f t="shared" si="4"/>
        <v>-0.0481663176</v>
      </c>
      <c r="I207" s="2" t="str">
        <f t="shared" si="5"/>
        <v>2014-07</v>
      </c>
      <c r="J207" s="2">
        <f t="shared" si="6"/>
        <v>2014</v>
      </c>
      <c r="K207" s="2">
        <f t="shared" si="7"/>
        <v>4</v>
      </c>
      <c r="L207" s="2" t="str">
        <f t="shared" si="8"/>
        <v>Wed</v>
      </c>
    </row>
    <row r="208" ht="15.0" customHeight="1">
      <c r="A208" s="4">
        <v>41844.0</v>
      </c>
      <c r="B208" s="2">
        <v>95618.25</v>
      </c>
      <c r="C208" s="2">
        <v>92416.9</v>
      </c>
      <c r="D208" s="2">
        <v>2729.0</v>
      </c>
      <c r="E208" s="5">
        <f t="shared" si="1"/>
        <v>35.03783437</v>
      </c>
      <c r="F208" s="7">
        <f t="shared" si="2"/>
        <v>0.03348053327</v>
      </c>
      <c r="G208" s="5">
        <f t="shared" si="3"/>
        <v>1.173085379</v>
      </c>
      <c r="H208" s="7">
        <f t="shared" si="4"/>
        <v>0.03348053327</v>
      </c>
      <c r="I208" s="2" t="str">
        <f t="shared" si="5"/>
        <v>2014-07</v>
      </c>
      <c r="J208" s="2">
        <f t="shared" si="6"/>
        <v>2014</v>
      </c>
      <c r="K208" s="2">
        <f t="shared" si="7"/>
        <v>5</v>
      </c>
      <c r="L208" s="2" t="str">
        <f t="shared" si="8"/>
        <v>Thu</v>
      </c>
    </row>
    <row r="209" ht="15.0" customHeight="1">
      <c r="A209" s="4">
        <v>41845.0</v>
      </c>
      <c r="B209" s="2">
        <v>515698.8</v>
      </c>
      <c r="C209" s="2">
        <v>538260.27</v>
      </c>
      <c r="D209" s="2">
        <v>15897.0</v>
      </c>
      <c r="E209" s="5">
        <f t="shared" si="1"/>
        <v>32.44000755</v>
      </c>
      <c r="F209" s="7">
        <f t="shared" si="2"/>
        <v>-0.04374931646</v>
      </c>
      <c r="G209" s="5">
        <f t="shared" si="3"/>
        <v>-1.419228156</v>
      </c>
      <c r="H209" s="7">
        <f t="shared" si="4"/>
        <v>-0.04374931646</v>
      </c>
      <c r="I209" s="2" t="str">
        <f t="shared" si="5"/>
        <v>2014-07</v>
      </c>
      <c r="J209" s="2">
        <f t="shared" si="6"/>
        <v>2014</v>
      </c>
      <c r="K209" s="2">
        <f t="shared" si="7"/>
        <v>6</v>
      </c>
      <c r="L209" s="2" t="str">
        <f t="shared" si="8"/>
        <v>Fri</v>
      </c>
    </row>
    <row r="210" ht="15.0" customHeight="1">
      <c r="A210" s="4">
        <v>41846.0</v>
      </c>
      <c r="B210" s="2">
        <v>562590.37</v>
      </c>
      <c r="C210" s="2">
        <v>586670.51</v>
      </c>
      <c r="D210" s="2">
        <v>17343.0</v>
      </c>
      <c r="E210" s="5">
        <f t="shared" si="1"/>
        <v>32.43904572</v>
      </c>
      <c r="F210" s="7">
        <f t="shared" si="2"/>
        <v>-0.04280226126</v>
      </c>
      <c r="G210" s="5">
        <f t="shared" si="3"/>
        <v>-1.38846451</v>
      </c>
      <c r="H210" s="7">
        <f t="shared" si="4"/>
        <v>-0.04280226126</v>
      </c>
      <c r="I210" s="2" t="str">
        <f t="shared" si="5"/>
        <v>2014-07</v>
      </c>
      <c r="J210" s="2">
        <f t="shared" si="6"/>
        <v>2014</v>
      </c>
      <c r="K210" s="2">
        <f t="shared" si="7"/>
        <v>7</v>
      </c>
      <c r="L210" s="2" t="str">
        <f t="shared" si="8"/>
        <v>Sat</v>
      </c>
    </row>
    <row r="211" ht="15.0" customHeight="1">
      <c r="A211" s="4">
        <v>41847.0</v>
      </c>
      <c r="B211" s="2">
        <v>266305.93</v>
      </c>
      <c r="C211" s="2">
        <v>277238.01</v>
      </c>
      <c r="D211" s="2">
        <v>8207.0</v>
      </c>
      <c r="E211" s="5">
        <f t="shared" si="1"/>
        <v>32.44863287</v>
      </c>
      <c r="F211" s="7">
        <f t="shared" si="2"/>
        <v>-0.04105083203</v>
      </c>
      <c r="G211" s="5">
        <f t="shared" si="3"/>
        <v>-1.332043378</v>
      </c>
      <c r="H211" s="7">
        <f t="shared" si="4"/>
        <v>-0.04105083203</v>
      </c>
      <c r="I211" s="2" t="str">
        <f t="shared" si="5"/>
        <v>2014-07</v>
      </c>
      <c r="J211" s="2">
        <f t="shared" si="6"/>
        <v>2014</v>
      </c>
      <c r="K211" s="2">
        <f t="shared" si="7"/>
        <v>1</v>
      </c>
      <c r="L211" s="2" t="str">
        <f t="shared" si="8"/>
        <v>Sun</v>
      </c>
    </row>
    <row r="212" ht="15.0" customHeight="1">
      <c r="A212" s="4">
        <v>41848.0</v>
      </c>
      <c r="B212" s="2">
        <v>292634.75</v>
      </c>
      <c r="C212" s="2">
        <v>304508.38</v>
      </c>
      <c r="D212" s="2">
        <v>9018.0</v>
      </c>
      <c r="E212" s="5">
        <f t="shared" si="1"/>
        <v>32.45007208</v>
      </c>
      <c r="F212" s="7">
        <f t="shared" si="2"/>
        <v>-0.04057491463</v>
      </c>
      <c r="G212" s="5">
        <f t="shared" si="3"/>
        <v>-1.316658904</v>
      </c>
      <c r="H212" s="7">
        <f t="shared" si="4"/>
        <v>-0.04057491463</v>
      </c>
      <c r="I212" s="2" t="str">
        <f t="shared" si="5"/>
        <v>2014-07</v>
      </c>
      <c r="J212" s="2">
        <f t="shared" si="6"/>
        <v>2014</v>
      </c>
      <c r="K212" s="2">
        <f t="shared" si="7"/>
        <v>2</v>
      </c>
      <c r="L212" s="2" t="str">
        <f t="shared" si="8"/>
        <v>Mon</v>
      </c>
    </row>
    <row r="213" ht="15.0" customHeight="1">
      <c r="A213" s="4">
        <v>41849.0</v>
      </c>
      <c r="B213" s="2">
        <v>212360.99</v>
      </c>
      <c r="C213" s="2">
        <v>221017.07</v>
      </c>
      <c r="D213" s="2">
        <v>6548.0</v>
      </c>
      <c r="E213" s="5">
        <f t="shared" si="1"/>
        <v>32.43142792</v>
      </c>
      <c r="F213" s="7">
        <f t="shared" si="2"/>
        <v>-0.04076115863</v>
      </c>
      <c r="G213" s="5">
        <f t="shared" si="3"/>
        <v>-1.321942578</v>
      </c>
      <c r="H213" s="7">
        <f t="shared" si="4"/>
        <v>-0.04076115863</v>
      </c>
      <c r="I213" s="2" t="str">
        <f t="shared" si="5"/>
        <v>2014-07</v>
      </c>
      <c r="J213" s="2">
        <f t="shared" si="6"/>
        <v>2014</v>
      </c>
      <c r="K213" s="2">
        <f t="shared" si="7"/>
        <v>3</v>
      </c>
      <c r="L213" s="2" t="str">
        <f t="shared" si="8"/>
        <v>Tue</v>
      </c>
    </row>
    <row r="214" ht="15.0" customHeight="1">
      <c r="A214" s="4">
        <v>41850.0</v>
      </c>
      <c r="B214" s="2">
        <v>198019.33</v>
      </c>
      <c r="C214" s="2">
        <v>205903.82</v>
      </c>
      <c r="D214" s="2">
        <v>6102.0</v>
      </c>
      <c r="E214" s="5">
        <f t="shared" si="1"/>
        <v>32.45154539</v>
      </c>
      <c r="F214" s="7">
        <f t="shared" si="2"/>
        <v>-0.0398167694</v>
      </c>
      <c r="G214" s="5">
        <f t="shared" si="3"/>
        <v>-1.2921157</v>
      </c>
      <c r="H214" s="7">
        <f t="shared" si="4"/>
        <v>-0.0398167694</v>
      </c>
      <c r="I214" s="2" t="str">
        <f t="shared" si="5"/>
        <v>2014-07</v>
      </c>
      <c r="J214" s="2">
        <f t="shared" si="6"/>
        <v>2014</v>
      </c>
      <c r="K214" s="2">
        <f t="shared" si="7"/>
        <v>4</v>
      </c>
      <c r="L214" s="2" t="str">
        <f t="shared" si="8"/>
        <v>Wed</v>
      </c>
    </row>
    <row r="215" ht="15.0" customHeight="1">
      <c r="A215" s="4">
        <v>41851.0</v>
      </c>
      <c r="B215" s="2">
        <v>295508.33</v>
      </c>
      <c r="C215" s="2">
        <v>307222.4</v>
      </c>
      <c r="D215" s="2">
        <v>9108.0</v>
      </c>
      <c r="E215" s="5">
        <f t="shared" si="1"/>
        <v>32.44491985</v>
      </c>
      <c r="F215" s="7">
        <f t="shared" si="2"/>
        <v>-0.0396404054</v>
      </c>
      <c r="G215" s="5">
        <f t="shared" si="3"/>
        <v>-1.286129776</v>
      </c>
      <c r="H215" s="7">
        <f t="shared" si="4"/>
        <v>-0.0396404054</v>
      </c>
      <c r="I215" s="2" t="str">
        <f t="shared" si="5"/>
        <v>2014-07</v>
      </c>
      <c r="J215" s="2">
        <f t="shared" si="6"/>
        <v>2014</v>
      </c>
      <c r="K215" s="2">
        <f t="shared" si="7"/>
        <v>5</v>
      </c>
      <c r="L215" s="2" t="str">
        <f t="shared" si="8"/>
        <v>Thu</v>
      </c>
    </row>
    <row r="216" ht="15.0" customHeight="1">
      <c r="A216" s="4">
        <v>41852.0</v>
      </c>
      <c r="B216" s="2">
        <v>611894.67</v>
      </c>
      <c r="C216" s="2">
        <v>636341.32</v>
      </c>
      <c r="D216" s="2">
        <v>18867.0</v>
      </c>
      <c r="E216" s="5">
        <f t="shared" si="1"/>
        <v>32.43200668</v>
      </c>
      <c r="F216" s="7">
        <f t="shared" si="2"/>
        <v>-0.03995238265</v>
      </c>
      <c r="G216" s="5">
        <f t="shared" si="3"/>
        <v>-1.295735941</v>
      </c>
      <c r="H216" s="7">
        <f t="shared" si="4"/>
        <v>-0.03995238265</v>
      </c>
      <c r="I216" s="2" t="str">
        <f t="shared" si="5"/>
        <v>2014-08</v>
      </c>
      <c r="J216" s="2">
        <f t="shared" si="6"/>
        <v>2014</v>
      </c>
      <c r="K216" s="2">
        <f t="shared" si="7"/>
        <v>6</v>
      </c>
      <c r="L216" s="2" t="str">
        <f t="shared" si="8"/>
        <v>Fri</v>
      </c>
    </row>
    <row r="217" ht="15.0" customHeight="1">
      <c r="A217" s="4">
        <v>41853.0</v>
      </c>
      <c r="B217" s="2">
        <v>628685.22</v>
      </c>
      <c r="C217" s="2">
        <v>653779.96</v>
      </c>
      <c r="D217" s="2">
        <v>19384.0</v>
      </c>
      <c r="E217" s="5">
        <f t="shared" si="1"/>
        <v>32.43320367</v>
      </c>
      <c r="F217" s="7">
        <f t="shared" si="2"/>
        <v>-0.03991622389</v>
      </c>
      <c r="G217" s="5">
        <f t="shared" si="3"/>
        <v>-1.294611019</v>
      </c>
      <c r="H217" s="7">
        <f t="shared" si="4"/>
        <v>-0.03991622389</v>
      </c>
      <c r="I217" s="2" t="str">
        <f t="shared" si="5"/>
        <v>2014-08</v>
      </c>
      <c r="J217" s="2">
        <f t="shared" si="6"/>
        <v>2014</v>
      </c>
      <c r="K217" s="2">
        <f t="shared" si="7"/>
        <v>7</v>
      </c>
      <c r="L217" s="2" t="str">
        <f t="shared" si="8"/>
        <v>Sat</v>
      </c>
    </row>
    <row r="218" ht="15.0" customHeight="1">
      <c r="A218" s="4">
        <v>41854.0</v>
      </c>
      <c r="B218" s="2">
        <v>307272.68</v>
      </c>
      <c r="C218" s="2">
        <v>319500.01</v>
      </c>
      <c r="D218" s="2">
        <v>9473.0</v>
      </c>
      <c r="E218" s="5">
        <f t="shared" si="1"/>
        <v>32.43668109</v>
      </c>
      <c r="F218" s="7">
        <f t="shared" si="2"/>
        <v>-0.03979309192</v>
      </c>
      <c r="G218" s="5">
        <f t="shared" si="3"/>
        <v>-1.290755832</v>
      </c>
      <c r="H218" s="7">
        <f t="shared" si="4"/>
        <v>-0.03979309192</v>
      </c>
      <c r="I218" s="2" t="str">
        <f t="shared" si="5"/>
        <v>2014-08</v>
      </c>
      <c r="J218" s="2">
        <f t="shared" si="6"/>
        <v>2014</v>
      </c>
      <c r="K218" s="2">
        <f t="shared" si="7"/>
        <v>1</v>
      </c>
      <c r="L218" s="2" t="str">
        <f t="shared" si="8"/>
        <v>Sun</v>
      </c>
    </row>
    <row r="219" ht="15.0" customHeight="1">
      <c r="A219" s="4">
        <v>41855.0</v>
      </c>
      <c r="B219" s="2">
        <v>362106.53</v>
      </c>
      <c r="C219" s="2">
        <v>376645.75</v>
      </c>
      <c r="D219" s="2">
        <v>11170.0</v>
      </c>
      <c r="E219" s="5">
        <f t="shared" si="1"/>
        <v>32.4177735</v>
      </c>
      <c r="F219" s="7">
        <f t="shared" si="2"/>
        <v>-0.04015177522</v>
      </c>
      <c r="G219" s="5">
        <f t="shared" si="3"/>
        <v>-1.301631155</v>
      </c>
      <c r="H219" s="7">
        <f t="shared" si="4"/>
        <v>-0.04015177522</v>
      </c>
      <c r="I219" s="2" t="str">
        <f t="shared" si="5"/>
        <v>2014-08</v>
      </c>
      <c r="J219" s="2">
        <f t="shared" si="6"/>
        <v>2014</v>
      </c>
      <c r="K219" s="2">
        <f t="shared" si="7"/>
        <v>2</v>
      </c>
      <c r="L219" s="2" t="str">
        <f t="shared" si="8"/>
        <v>Mon</v>
      </c>
    </row>
    <row r="220" ht="15.0" customHeight="1">
      <c r="A220" s="4">
        <v>41856.0</v>
      </c>
      <c r="B220" s="2">
        <v>262349.59</v>
      </c>
      <c r="C220" s="2">
        <v>272809.29</v>
      </c>
      <c r="D220" s="2">
        <v>8091.0</v>
      </c>
      <c r="E220" s="5">
        <f t="shared" si="1"/>
        <v>32.4248659</v>
      </c>
      <c r="F220" s="7">
        <f t="shared" si="2"/>
        <v>-0.03986932093</v>
      </c>
      <c r="G220" s="5">
        <f t="shared" si="3"/>
        <v>-1.292757385</v>
      </c>
      <c r="H220" s="7">
        <f t="shared" si="4"/>
        <v>-0.03986932093</v>
      </c>
      <c r="I220" s="2" t="str">
        <f t="shared" si="5"/>
        <v>2014-08</v>
      </c>
      <c r="J220" s="2">
        <f t="shared" si="6"/>
        <v>2014</v>
      </c>
      <c r="K220" s="2">
        <f t="shared" si="7"/>
        <v>3</v>
      </c>
      <c r="L220" s="2" t="str">
        <f t="shared" si="8"/>
        <v>Tue</v>
      </c>
    </row>
    <row r="221" ht="15.0" customHeight="1">
      <c r="A221" s="4">
        <v>41857.0</v>
      </c>
      <c r="B221" s="2">
        <v>80697.9</v>
      </c>
      <c r="C221" s="2">
        <v>77649.64</v>
      </c>
      <c r="D221" s="2">
        <v>2303.0</v>
      </c>
      <c r="E221" s="5">
        <f t="shared" si="1"/>
        <v>35.04033869</v>
      </c>
      <c r="F221" s="7">
        <f t="shared" si="2"/>
        <v>0.0377737215</v>
      </c>
      <c r="G221" s="5">
        <f t="shared" si="3"/>
        <v>1.323603995</v>
      </c>
      <c r="H221" s="7">
        <f t="shared" si="4"/>
        <v>0.0377737215</v>
      </c>
      <c r="I221" s="2" t="str">
        <f t="shared" si="5"/>
        <v>2014-08</v>
      </c>
      <c r="J221" s="2">
        <f t="shared" si="6"/>
        <v>2014</v>
      </c>
      <c r="K221" s="2">
        <f t="shared" si="7"/>
        <v>4</v>
      </c>
      <c r="L221" s="2" t="str">
        <f t="shared" si="8"/>
        <v>Wed</v>
      </c>
    </row>
    <row r="222" ht="15.0" customHeight="1">
      <c r="A222" s="4">
        <v>41858.0</v>
      </c>
      <c r="B222" s="2">
        <v>103272.62</v>
      </c>
      <c r="C222" s="2">
        <v>99367.23</v>
      </c>
      <c r="D222" s="2">
        <v>2947.0</v>
      </c>
      <c r="E222" s="5">
        <f t="shared" si="1"/>
        <v>35.04330506</v>
      </c>
      <c r="F222" s="7">
        <f t="shared" si="2"/>
        <v>0.03781631569</v>
      </c>
      <c r="G222" s="5">
        <f t="shared" si="3"/>
        <v>1.325208687</v>
      </c>
      <c r="H222" s="7">
        <f t="shared" si="4"/>
        <v>0.03781631569</v>
      </c>
      <c r="I222" s="2" t="str">
        <f t="shared" si="5"/>
        <v>2014-08</v>
      </c>
      <c r="J222" s="2">
        <f t="shared" si="6"/>
        <v>2014</v>
      </c>
      <c r="K222" s="2">
        <f t="shared" si="7"/>
        <v>5</v>
      </c>
      <c r="L222" s="2" t="str">
        <f t="shared" si="8"/>
        <v>Thu</v>
      </c>
    </row>
    <row r="223" ht="15.0" customHeight="1">
      <c r="A223" s="4">
        <v>41859.0</v>
      </c>
      <c r="B223" s="2">
        <v>439421.42</v>
      </c>
      <c r="C223" s="2">
        <v>456509.62</v>
      </c>
      <c r="D223" s="2">
        <v>13542.0</v>
      </c>
      <c r="E223" s="5">
        <f t="shared" si="1"/>
        <v>32.44878305</v>
      </c>
      <c r="F223" s="7">
        <f t="shared" si="2"/>
        <v>-0.03888795407</v>
      </c>
      <c r="G223" s="5">
        <f t="shared" si="3"/>
        <v>-1.261866785</v>
      </c>
      <c r="H223" s="7">
        <f t="shared" si="4"/>
        <v>-0.03888795407</v>
      </c>
      <c r="I223" s="2" t="str">
        <f t="shared" si="5"/>
        <v>2014-08</v>
      </c>
      <c r="J223" s="2">
        <f t="shared" si="6"/>
        <v>2014</v>
      </c>
      <c r="K223" s="2">
        <f t="shared" si="7"/>
        <v>6</v>
      </c>
      <c r="L223" s="2" t="str">
        <f t="shared" si="8"/>
        <v>Fri</v>
      </c>
    </row>
    <row r="224" ht="15.0" customHeight="1">
      <c r="A224" s="4">
        <v>41860.0</v>
      </c>
      <c r="B224" s="2">
        <v>408616.35</v>
      </c>
      <c r="C224" s="2">
        <v>424340.95</v>
      </c>
      <c r="D224" s="2">
        <v>12588.0</v>
      </c>
      <c r="E224" s="5">
        <f t="shared" si="1"/>
        <v>32.46078408</v>
      </c>
      <c r="F224" s="7">
        <f t="shared" si="2"/>
        <v>-0.03848255215</v>
      </c>
      <c r="G224" s="5">
        <f t="shared" si="3"/>
        <v>-1.249173816</v>
      </c>
      <c r="H224" s="7">
        <f t="shared" si="4"/>
        <v>-0.03848255215</v>
      </c>
      <c r="I224" s="2" t="str">
        <f t="shared" si="5"/>
        <v>2014-08</v>
      </c>
      <c r="J224" s="2">
        <f t="shared" si="6"/>
        <v>2014</v>
      </c>
      <c r="K224" s="2">
        <f t="shared" si="7"/>
        <v>7</v>
      </c>
      <c r="L224" s="2" t="str">
        <f t="shared" si="8"/>
        <v>Sat</v>
      </c>
    </row>
    <row r="225" ht="15.0" customHeight="1">
      <c r="A225" s="4">
        <v>41861.0</v>
      </c>
      <c r="B225" s="2">
        <v>195866.77</v>
      </c>
      <c r="C225" s="2">
        <v>203331.43</v>
      </c>
      <c r="D225" s="2">
        <v>6032.0</v>
      </c>
      <c r="E225" s="5">
        <f t="shared" si="1"/>
        <v>32.4712815</v>
      </c>
      <c r="F225" s="7">
        <f t="shared" si="2"/>
        <v>-0.03811090569</v>
      </c>
      <c r="G225" s="5">
        <f t="shared" si="3"/>
        <v>-1.237509947</v>
      </c>
      <c r="H225" s="7">
        <f t="shared" si="4"/>
        <v>-0.03811090569</v>
      </c>
      <c r="I225" s="2" t="str">
        <f t="shared" si="5"/>
        <v>2014-08</v>
      </c>
      <c r="J225" s="2">
        <f t="shared" si="6"/>
        <v>2014</v>
      </c>
      <c r="K225" s="2">
        <f t="shared" si="7"/>
        <v>1</v>
      </c>
      <c r="L225" s="2" t="str">
        <f t="shared" si="8"/>
        <v>Sun</v>
      </c>
    </row>
    <row r="226" ht="15.0" customHeight="1">
      <c r="A226" s="4">
        <v>41862.0</v>
      </c>
      <c r="B226" s="2">
        <v>232347.35</v>
      </c>
      <c r="C226" s="2">
        <v>241134.53</v>
      </c>
      <c r="D226" s="2">
        <v>7158.0</v>
      </c>
      <c r="E226" s="5">
        <f t="shared" si="1"/>
        <v>32.45981419</v>
      </c>
      <c r="F226" s="7">
        <f t="shared" si="2"/>
        <v>-0.03781915309</v>
      </c>
      <c r="G226" s="5">
        <f t="shared" si="3"/>
        <v>-1.227602682</v>
      </c>
      <c r="H226" s="7">
        <f t="shared" si="4"/>
        <v>-0.03781915309</v>
      </c>
      <c r="I226" s="2" t="str">
        <f t="shared" si="5"/>
        <v>2014-08</v>
      </c>
      <c r="J226" s="2">
        <f t="shared" si="6"/>
        <v>2014</v>
      </c>
      <c r="K226" s="2">
        <f t="shared" si="7"/>
        <v>2</v>
      </c>
      <c r="L226" s="2" t="str">
        <f t="shared" si="8"/>
        <v>Mon</v>
      </c>
    </row>
    <row r="227" ht="15.0" customHeight="1">
      <c r="A227" s="4">
        <v>41863.0</v>
      </c>
      <c r="B227" s="2">
        <v>190325.18</v>
      </c>
      <c r="C227" s="2">
        <v>197438.11</v>
      </c>
      <c r="D227" s="2">
        <v>5863.0</v>
      </c>
      <c r="E227" s="5">
        <f t="shared" si="1"/>
        <v>32.46208085</v>
      </c>
      <c r="F227" s="7">
        <f t="shared" si="2"/>
        <v>-0.03737251161</v>
      </c>
      <c r="G227" s="5">
        <f t="shared" si="3"/>
        <v>-1.213189493</v>
      </c>
      <c r="H227" s="7">
        <f t="shared" si="4"/>
        <v>-0.03737251161</v>
      </c>
      <c r="I227" s="2" t="str">
        <f t="shared" si="5"/>
        <v>2014-08</v>
      </c>
      <c r="J227" s="2">
        <f t="shared" si="6"/>
        <v>2014</v>
      </c>
      <c r="K227" s="2">
        <f t="shared" si="7"/>
        <v>3</v>
      </c>
      <c r="L227" s="2" t="str">
        <f t="shared" si="8"/>
        <v>Tue</v>
      </c>
    </row>
    <row r="228" ht="15.0" customHeight="1">
      <c r="A228" s="4">
        <v>41864.0</v>
      </c>
      <c r="B228" s="2">
        <v>197698.12</v>
      </c>
      <c r="C228" s="2">
        <v>205114.13</v>
      </c>
      <c r="D228" s="2">
        <v>6092.0</v>
      </c>
      <c r="E228" s="5">
        <f t="shared" si="1"/>
        <v>32.45208798</v>
      </c>
      <c r="F228" s="7">
        <f t="shared" si="2"/>
        <v>-0.03751178817</v>
      </c>
      <c r="G228" s="5">
        <f t="shared" si="3"/>
        <v>-1.21733585</v>
      </c>
      <c r="H228" s="7">
        <f t="shared" si="4"/>
        <v>-0.03751178817</v>
      </c>
      <c r="I228" s="2" t="str">
        <f t="shared" si="5"/>
        <v>2014-08</v>
      </c>
      <c r="J228" s="2">
        <f t="shared" si="6"/>
        <v>2014</v>
      </c>
      <c r="K228" s="2">
        <f t="shared" si="7"/>
        <v>4</v>
      </c>
      <c r="L228" s="2" t="str">
        <f t="shared" si="8"/>
        <v>Wed</v>
      </c>
    </row>
    <row r="229" ht="15.0" customHeight="1">
      <c r="A229" s="4">
        <v>41865.0</v>
      </c>
      <c r="B229" s="2">
        <v>177908.84</v>
      </c>
      <c r="C229" s="2">
        <v>184687.53</v>
      </c>
      <c r="D229" s="2">
        <v>5485.0</v>
      </c>
      <c r="E229" s="5">
        <f t="shared" si="1"/>
        <v>32.43552233</v>
      </c>
      <c r="F229" s="7">
        <f t="shared" si="2"/>
        <v>-0.03810204147</v>
      </c>
      <c r="G229" s="5">
        <f t="shared" si="3"/>
        <v>-1.235859617</v>
      </c>
      <c r="H229" s="7">
        <f t="shared" si="4"/>
        <v>-0.03810204147</v>
      </c>
      <c r="I229" s="2" t="str">
        <f t="shared" si="5"/>
        <v>2014-08</v>
      </c>
      <c r="J229" s="2">
        <f t="shared" si="6"/>
        <v>2014</v>
      </c>
      <c r="K229" s="2">
        <f t="shared" si="7"/>
        <v>5</v>
      </c>
      <c r="L229" s="2" t="str">
        <f t="shared" si="8"/>
        <v>Thu</v>
      </c>
    </row>
    <row r="230" ht="15.0" customHeight="1">
      <c r="A230" s="4">
        <v>41866.0</v>
      </c>
      <c r="B230" s="2">
        <v>473321.88</v>
      </c>
      <c r="C230" s="2">
        <v>491559.42</v>
      </c>
      <c r="D230" s="2">
        <v>14587.0</v>
      </c>
      <c r="E230" s="5">
        <f t="shared" si="1"/>
        <v>32.44819908</v>
      </c>
      <c r="F230" s="7">
        <f t="shared" si="2"/>
        <v>-0.03853094642</v>
      </c>
      <c r="G230" s="5">
        <f t="shared" si="3"/>
        <v>-1.25025982</v>
      </c>
      <c r="H230" s="7">
        <f t="shared" si="4"/>
        <v>-0.03853094642</v>
      </c>
      <c r="I230" s="2" t="str">
        <f t="shared" si="5"/>
        <v>2014-08</v>
      </c>
      <c r="J230" s="2">
        <f t="shared" si="6"/>
        <v>2014</v>
      </c>
      <c r="K230" s="2">
        <f t="shared" si="7"/>
        <v>6</v>
      </c>
      <c r="L230" s="2" t="str">
        <f t="shared" si="8"/>
        <v>Fri</v>
      </c>
    </row>
    <row r="231" ht="15.0" customHeight="1">
      <c r="A231" s="4">
        <v>41867.0</v>
      </c>
      <c r="B231" s="2">
        <v>541600.89</v>
      </c>
      <c r="C231" s="2">
        <v>562953.37</v>
      </c>
      <c r="D231" s="2">
        <v>16686.0</v>
      </c>
      <c r="E231" s="5">
        <f t="shared" si="1"/>
        <v>32.45840165</v>
      </c>
      <c r="F231" s="7">
        <f t="shared" si="2"/>
        <v>-0.03942475058</v>
      </c>
      <c r="G231" s="5">
        <f t="shared" si="3"/>
        <v>-1.279664389</v>
      </c>
      <c r="H231" s="7">
        <f t="shared" si="4"/>
        <v>-0.03942475058</v>
      </c>
      <c r="I231" s="2" t="str">
        <f t="shared" si="5"/>
        <v>2014-08</v>
      </c>
      <c r="J231" s="2">
        <f t="shared" si="6"/>
        <v>2014</v>
      </c>
      <c r="K231" s="2">
        <f t="shared" si="7"/>
        <v>7</v>
      </c>
      <c r="L231" s="2" t="str">
        <f t="shared" si="8"/>
        <v>Sat</v>
      </c>
    </row>
    <row r="232" ht="15.0" customHeight="1">
      <c r="A232" s="4">
        <v>41868.0</v>
      </c>
      <c r="B232" s="2">
        <v>239513.98</v>
      </c>
      <c r="C232" s="2">
        <v>249203.12</v>
      </c>
      <c r="D232" s="2">
        <v>7380.0</v>
      </c>
      <c r="E232" s="5">
        <f t="shared" si="1"/>
        <v>32.45446883</v>
      </c>
      <c r="F232" s="7">
        <f t="shared" si="2"/>
        <v>-0.04045333805</v>
      </c>
      <c r="G232" s="5">
        <f t="shared" si="3"/>
        <v>-1.312891599</v>
      </c>
      <c r="H232" s="7">
        <f t="shared" si="4"/>
        <v>-0.04045333805</v>
      </c>
      <c r="I232" s="2" t="str">
        <f t="shared" si="5"/>
        <v>2014-08</v>
      </c>
      <c r="J232" s="2">
        <f t="shared" si="6"/>
        <v>2014</v>
      </c>
      <c r="K232" s="2">
        <f t="shared" si="7"/>
        <v>1</v>
      </c>
      <c r="L232" s="2" t="str">
        <f t="shared" si="8"/>
        <v>Sun</v>
      </c>
    </row>
    <row r="233" ht="15.0" customHeight="1">
      <c r="A233" s="4">
        <v>41869.0</v>
      </c>
      <c r="B233" s="2">
        <v>255224.22</v>
      </c>
      <c r="C233" s="2">
        <v>265532.55</v>
      </c>
      <c r="D233" s="2">
        <v>7864.0</v>
      </c>
      <c r="E233" s="5">
        <f t="shared" si="1"/>
        <v>32.45475839</v>
      </c>
      <c r="F233" s="7">
        <f t="shared" si="2"/>
        <v>-0.04038930945</v>
      </c>
      <c r="G233" s="5">
        <f t="shared" si="3"/>
        <v>-1.31082528</v>
      </c>
      <c r="H233" s="7">
        <f t="shared" si="4"/>
        <v>-0.04038930945</v>
      </c>
      <c r="I233" s="2" t="str">
        <f t="shared" si="5"/>
        <v>2014-08</v>
      </c>
      <c r="J233" s="2">
        <f t="shared" si="6"/>
        <v>2014</v>
      </c>
      <c r="K233" s="2">
        <f t="shared" si="7"/>
        <v>2</v>
      </c>
      <c r="L233" s="2" t="str">
        <f t="shared" si="8"/>
        <v>Mon</v>
      </c>
    </row>
    <row r="234" ht="15.0" customHeight="1">
      <c r="A234" s="4">
        <v>41870.0</v>
      </c>
      <c r="B234" s="2">
        <v>160372.04</v>
      </c>
      <c r="C234" s="2">
        <v>167021.16</v>
      </c>
      <c r="D234" s="2">
        <v>4941.0</v>
      </c>
      <c r="E234" s="5">
        <f t="shared" si="1"/>
        <v>32.45740538</v>
      </c>
      <c r="F234" s="7">
        <f t="shared" si="2"/>
        <v>-0.04146059375</v>
      </c>
      <c r="G234" s="5">
        <f t="shared" si="3"/>
        <v>-1.345703299</v>
      </c>
      <c r="H234" s="7">
        <f t="shared" si="4"/>
        <v>-0.04146059375</v>
      </c>
      <c r="I234" s="2" t="str">
        <f t="shared" si="5"/>
        <v>2014-08</v>
      </c>
      <c r="J234" s="2">
        <f t="shared" si="6"/>
        <v>2014</v>
      </c>
      <c r="K234" s="2">
        <f t="shared" si="7"/>
        <v>3</v>
      </c>
      <c r="L234" s="2" t="str">
        <f t="shared" si="8"/>
        <v>Tue</v>
      </c>
    </row>
    <row r="235" ht="15.0" customHeight="1">
      <c r="A235" s="4">
        <v>41871.0</v>
      </c>
      <c r="B235" s="2">
        <v>171587.33</v>
      </c>
      <c r="C235" s="2">
        <v>174723.18</v>
      </c>
      <c r="D235" s="2">
        <v>5151.0</v>
      </c>
      <c r="E235" s="5">
        <f t="shared" si="1"/>
        <v>33.31145991</v>
      </c>
      <c r="F235" s="7">
        <f t="shared" si="2"/>
        <v>-0.01827553351</v>
      </c>
      <c r="G235" s="5">
        <f t="shared" si="3"/>
        <v>-0.608784702</v>
      </c>
      <c r="H235" s="7">
        <f t="shared" si="4"/>
        <v>-0.01827553351</v>
      </c>
      <c r="I235" s="2" t="str">
        <f t="shared" si="5"/>
        <v>2014-08</v>
      </c>
      <c r="J235" s="2">
        <f t="shared" si="6"/>
        <v>2014</v>
      </c>
      <c r="K235" s="2">
        <f t="shared" si="7"/>
        <v>4</v>
      </c>
      <c r="L235" s="2" t="str">
        <f t="shared" si="8"/>
        <v>Wed</v>
      </c>
    </row>
    <row r="236" ht="15.0" customHeight="1">
      <c r="A236" s="4">
        <v>41872.0</v>
      </c>
      <c r="B236" s="2">
        <v>164208.06</v>
      </c>
      <c r="C236" s="2">
        <v>167239.65</v>
      </c>
      <c r="D236" s="2">
        <v>4928.0</v>
      </c>
      <c r="E236" s="5">
        <f t="shared" si="1"/>
        <v>33.32144075</v>
      </c>
      <c r="F236" s="7">
        <f t="shared" si="2"/>
        <v>-0.01846188305</v>
      </c>
      <c r="G236" s="5">
        <f t="shared" si="3"/>
        <v>-0.6151765422</v>
      </c>
      <c r="H236" s="7">
        <f t="shared" si="4"/>
        <v>-0.01846188305</v>
      </c>
      <c r="I236" s="2" t="str">
        <f t="shared" si="5"/>
        <v>2014-08</v>
      </c>
      <c r="J236" s="2">
        <f t="shared" si="6"/>
        <v>2014</v>
      </c>
      <c r="K236" s="2">
        <f t="shared" si="7"/>
        <v>5</v>
      </c>
      <c r="L236" s="2" t="str">
        <f t="shared" si="8"/>
        <v>Thu</v>
      </c>
    </row>
    <row r="237" ht="15.0" customHeight="1">
      <c r="A237" s="4">
        <v>41873.0</v>
      </c>
      <c r="B237" s="2">
        <v>376778.84</v>
      </c>
      <c r="C237" s="2">
        <v>384006.05</v>
      </c>
      <c r="D237" s="2">
        <v>11309.0</v>
      </c>
      <c r="E237" s="5">
        <f t="shared" si="1"/>
        <v>33.31672473</v>
      </c>
      <c r="F237" s="7">
        <f t="shared" si="2"/>
        <v>-0.01918157081</v>
      </c>
      <c r="G237" s="5">
        <f t="shared" si="3"/>
        <v>-0.6390671147</v>
      </c>
      <c r="H237" s="7">
        <f t="shared" si="4"/>
        <v>-0.01918157081</v>
      </c>
      <c r="I237" s="2" t="str">
        <f t="shared" si="5"/>
        <v>2014-08</v>
      </c>
      <c r="J237" s="2">
        <f t="shared" si="6"/>
        <v>2014</v>
      </c>
      <c r="K237" s="2">
        <f t="shared" si="7"/>
        <v>6</v>
      </c>
      <c r="L237" s="2" t="str">
        <f t="shared" si="8"/>
        <v>Fri</v>
      </c>
    </row>
    <row r="238" ht="15.0" customHeight="1">
      <c r="A238" s="4">
        <v>41874.0</v>
      </c>
      <c r="B238" s="2">
        <v>453633.47</v>
      </c>
      <c r="C238" s="2">
        <v>463250.07</v>
      </c>
      <c r="D238" s="2">
        <v>13613.0</v>
      </c>
      <c r="E238" s="5">
        <f t="shared" si="1"/>
        <v>33.32354881</v>
      </c>
      <c r="F238" s="7">
        <f t="shared" si="2"/>
        <v>-0.02119905306</v>
      </c>
      <c r="G238" s="5">
        <f t="shared" si="3"/>
        <v>-0.7064276794</v>
      </c>
      <c r="H238" s="7">
        <f t="shared" si="4"/>
        <v>-0.02119905306</v>
      </c>
      <c r="I238" s="2" t="str">
        <f t="shared" si="5"/>
        <v>2014-08</v>
      </c>
      <c r="J238" s="2">
        <f t="shared" si="6"/>
        <v>2014</v>
      </c>
      <c r="K238" s="2">
        <f t="shared" si="7"/>
        <v>7</v>
      </c>
      <c r="L238" s="2" t="str">
        <f t="shared" si="8"/>
        <v>Sat</v>
      </c>
    </row>
    <row r="239" ht="15.0" customHeight="1">
      <c r="A239" s="4">
        <v>41875.0</v>
      </c>
      <c r="B239" s="2">
        <v>214392.4</v>
      </c>
      <c r="C239" s="2">
        <v>218347.8</v>
      </c>
      <c r="D239" s="2">
        <v>6424.0</v>
      </c>
      <c r="E239" s="5">
        <f t="shared" si="1"/>
        <v>33.37366127</v>
      </c>
      <c r="F239" s="7">
        <f t="shared" si="2"/>
        <v>-0.01844934802</v>
      </c>
      <c r="G239" s="5">
        <f t="shared" si="3"/>
        <v>-0.6157222914</v>
      </c>
      <c r="H239" s="7">
        <f t="shared" si="4"/>
        <v>-0.01844934802</v>
      </c>
      <c r="I239" s="2" t="str">
        <f t="shared" si="5"/>
        <v>2014-08</v>
      </c>
      <c r="J239" s="2">
        <f t="shared" si="6"/>
        <v>2014</v>
      </c>
      <c r="K239" s="2">
        <f t="shared" si="7"/>
        <v>1</v>
      </c>
      <c r="L239" s="2" t="str">
        <f t="shared" si="8"/>
        <v>Sun</v>
      </c>
    </row>
    <row r="240" ht="15.0" customHeight="1">
      <c r="A240" s="4">
        <v>41876.0</v>
      </c>
      <c r="B240" s="2">
        <v>316404.06</v>
      </c>
      <c r="C240" s="2">
        <v>323293.4</v>
      </c>
      <c r="D240" s="2">
        <v>9493.0</v>
      </c>
      <c r="E240" s="5">
        <f t="shared" si="1"/>
        <v>33.33024966</v>
      </c>
      <c r="F240" s="7">
        <f t="shared" si="2"/>
        <v>-0.02177386725</v>
      </c>
      <c r="G240" s="5">
        <f t="shared" si="3"/>
        <v>-0.7257284315</v>
      </c>
      <c r="H240" s="7">
        <f t="shared" si="4"/>
        <v>-0.02177386725</v>
      </c>
      <c r="I240" s="2" t="str">
        <f t="shared" si="5"/>
        <v>2014-08</v>
      </c>
      <c r="J240" s="2">
        <f t="shared" si="6"/>
        <v>2014</v>
      </c>
      <c r="K240" s="2">
        <f t="shared" si="7"/>
        <v>2</v>
      </c>
      <c r="L240" s="2" t="str">
        <f t="shared" si="8"/>
        <v>Mon</v>
      </c>
    </row>
    <row r="241" ht="15.0" customHeight="1">
      <c r="A241" s="4">
        <v>41877.0</v>
      </c>
      <c r="B241" s="2">
        <v>242824.5</v>
      </c>
      <c r="C241" s="2">
        <v>259860.51</v>
      </c>
      <c r="D241" s="2">
        <v>7619.0</v>
      </c>
      <c r="E241" s="5">
        <f t="shared" si="1"/>
        <v>31.87091482</v>
      </c>
      <c r="F241" s="7">
        <f t="shared" si="2"/>
        <v>-0.07015770649</v>
      </c>
      <c r="G241" s="5">
        <f t="shared" si="3"/>
        <v>-2.235990287</v>
      </c>
      <c r="H241" s="7">
        <f t="shared" si="4"/>
        <v>-0.07015770649</v>
      </c>
      <c r="I241" s="2" t="str">
        <f t="shared" si="5"/>
        <v>2014-08</v>
      </c>
      <c r="J241" s="2">
        <f t="shared" si="6"/>
        <v>2014</v>
      </c>
      <c r="K241" s="2">
        <f t="shared" si="7"/>
        <v>3</v>
      </c>
      <c r="L241" s="2" t="str">
        <f t="shared" si="8"/>
        <v>Tue</v>
      </c>
    </row>
    <row r="242" ht="15.0" customHeight="1">
      <c r="A242" s="4">
        <v>41878.0</v>
      </c>
      <c r="B242" s="2">
        <v>274712.25</v>
      </c>
      <c r="C242" s="2">
        <v>304334.78</v>
      </c>
      <c r="D242" s="2">
        <v>8909.0</v>
      </c>
      <c r="E242" s="5">
        <f t="shared" si="1"/>
        <v>30.83536312</v>
      </c>
      <c r="F242" s="7">
        <f t="shared" si="2"/>
        <v>-0.1078311215</v>
      </c>
      <c r="G242" s="5">
        <f t="shared" si="3"/>
        <v>-3.325011786</v>
      </c>
      <c r="H242" s="7">
        <f t="shared" si="4"/>
        <v>-0.1078311215</v>
      </c>
      <c r="I242" s="2" t="str">
        <f t="shared" si="5"/>
        <v>2014-08</v>
      </c>
      <c r="J242" s="2">
        <f t="shared" si="6"/>
        <v>2014</v>
      </c>
      <c r="K242" s="2">
        <f t="shared" si="7"/>
        <v>4</v>
      </c>
      <c r="L242" s="2" t="str">
        <f t="shared" si="8"/>
        <v>Wed</v>
      </c>
    </row>
    <row r="243" ht="15.0" customHeight="1">
      <c r="A243" s="4">
        <v>41879.0</v>
      </c>
      <c r="B243" s="2">
        <v>258066.17</v>
      </c>
      <c r="C243" s="2">
        <v>287168.57</v>
      </c>
      <c r="D243" s="2">
        <v>8400.0</v>
      </c>
      <c r="E243" s="5">
        <f t="shared" si="1"/>
        <v>30.7221631</v>
      </c>
      <c r="F243" s="7">
        <f t="shared" si="2"/>
        <v>-0.1127710773</v>
      </c>
      <c r="G243" s="5">
        <f t="shared" si="3"/>
        <v>-3.464571429</v>
      </c>
      <c r="H243" s="7">
        <f t="shared" si="4"/>
        <v>-0.1127710773</v>
      </c>
      <c r="I243" s="2" t="str">
        <f t="shared" si="5"/>
        <v>2014-08</v>
      </c>
      <c r="J243" s="2">
        <f t="shared" si="6"/>
        <v>2014</v>
      </c>
      <c r="K243" s="2">
        <f t="shared" si="7"/>
        <v>5</v>
      </c>
      <c r="L243" s="2" t="str">
        <f t="shared" si="8"/>
        <v>Thu</v>
      </c>
    </row>
    <row r="244" ht="15.0" customHeight="1">
      <c r="A244" s="4">
        <v>41880.0</v>
      </c>
      <c r="B244" s="2">
        <v>594007.21</v>
      </c>
      <c r="C244" s="2">
        <v>660937.8</v>
      </c>
      <c r="D244" s="2">
        <v>19317.0</v>
      </c>
      <c r="E244" s="5">
        <f t="shared" si="1"/>
        <v>30.75048972</v>
      </c>
      <c r="F244" s="7">
        <f t="shared" si="2"/>
        <v>-0.1126763933</v>
      </c>
      <c r="G244" s="5">
        <f t="shared" si="3"/>
        <v>-3.464854273</v>
      </c>
      <c r="H244" s="7">
        <f t="shared" si="4"/>
        <v>-0.1126763933</v>
      </c>
      <c r="I244" s="2" t="str">
        <f t="shared" si="5"/>
        <v>2014-08</v>
      </c>
      <c r="J244" s="2">
        <f t="shared" si="6"/>
        <v>2014</v>
      </c>
      <c r="K244" s="2">
        <f t="shared" si="7"/>
        <v>6</v>
      </c>
      <c r="L244" s="2" t="str">
        <f t="shared" si="8"/>
        <v>Fri</v>
      </c>
    </row>
    <row r="245" ht="15.0" customHeight="1">
      <c r="A245" s="4">
        <v>41881.0</v>
      </c>
      <c r="B245" s="2">
        <v>717096.71</v>
      </c>
      <c r="C245" s="2">
        <v>797788.89</v>
      </c>
      <c r="D245" s="2">
        <v>23310.0</v>
      </c>
      <c r="E245" s="5">
        <f t="shared" si="1"/>
        <v>30.76347962</v>
      </c>
      <c r="F245" s="7">
        <f t="shared" si="2"/>
        <v>-0.112526217</v>
      </c>
      <c r="G245" s="5">
        <f t="shared" si="3"/>
        <v>-3.461697984</v>
      </c>
      <c r="H245" s="7">
        <f t="shared" si="4"/>
        <v>-0.112526217</v>
      </c>
      <c r="I245" s="2" t="str">
        <f t="shared" si="5"/>
        <v>2014-08</v>
      </c>
      <c r="J245" s="2">
        <f t="shared" si="6"/>
        <v>2014</v>
      </c>
      <c r="K245" s="2">
        <f t="shared" si="7"/>
        <v>7</v>
      </c>
      <c r="L245" s="2" t="str">
        <f t="shared" si="8"/>
        <v>Sat</v>
      </c>
    </row>
    <row r="246" ht="15.0" customHeight="1">
      <c r="A246" s="4">
        <v>41882.0</v>
      </c>
      <c r="B246" s="2">
        <v>358171.0</v>
      </c>
      <c r="C246" s="2">
        <v>398562.61</v>
      </c>
      <c r="D246" s="2">
        <v>11646.0</v>
      </c>
      <c r="E246" s="5">
        <f t="shared" si="1"/>
        <v>30.75485145</v>
      </c>
      <c r="F246" s="7">
        <f t="shared" si="2"/>
        <v>-0.1127718604</v>
      </c>
      <c r="G246" s="5">
        <f t="shared" si="3"/>
        <v>-3.468281813</v>
      </c>
      <c r="H246" s="7">
        <f t="shared" si="4"/>
        <v>-0.1127718604</v>
      </c>
      <c r="I246" s="2" t="str">
        <f t="shared" si="5"/>
        <v>2014-08</v>
      </c>
      <c r="J246" s="2">
        <f t="shared" si="6"/>
        <v>2014</v>
      </c>
      <c r="K246" s="2">
        <f t="shared" si="7"/>
        <v>1</v>
      </c>
      <c r="L246" s="2" t="str">
        <f t="shared" si="8"/>
        <v>Sun</v>
      </c>
    </row>
    <row r="247" ht="15.0" customHeight="1">
      <c r="A247" s="4">
        <v>41883.0</v>
      </c>
      <c r="B247" s="2">
        <v>594953.63</v>
      </c>
      <c r="C247" s="2">
        <v>662850.99</v>
      </c>
      <c r="D247" s="2">
        <v>19366.0</v>
      </c>
      <c r="E247" s="5">
        <f t="shared" si="1"/>
        <v>30.72155479</v>
      </c>
      <c r="F247" s="7">
        <f t="shared" si="2"/>
        <v>-0.1141221039</v>
      </c>
      <c r="G247" s="5">
        <f t="shared" si="3"/>
        <v>-3.506008468</v>
      </c>
      <c r="H247" s="7">
        <f t="shared" si="4"/>
        <v>-0.1141221039</v>
      </c>
      <c r="I247" s="2" t="str">
        <f t="shared" si="5"/>
        <v>2014-09</v>
      </c>
      <c r="J247" s="2">
        <f t="shared" si="6"/>
        <v>2014</v>
      </c>
      <c r="K247" s="2">
        <f t="shared" si="7"/>
        <v>2</v>
      </c>
      <c r="L247" s="2" t="str">
        <f t="shared" si="8"/>
        <v>Mon</v>
      </c>
    </row>
    <row r="248" ht="15.0" customHeight="1">
      <c r="A248" s="4">
        <v>41884.0</v>
      </c>
      <c r="B248" s="2">
        <v>469469.94</v>
      </c>
      <c r="C248" s="2">
        <v>523480.3</v>
      </c>
      <c r="D248" s="2">
        <v>15291.0</v>
      </c>
      <c r="E248" s="5">
        <f t="shared" si="1"/>
        <v>30.70237002</v>
      </c>
      <c r="F248" s="7">
        <f t="shared" si="2"/>
        <v>-0.1150454063</v>
      </c>
      <c r="G248" s="5">
        <f t="shared" si="3"/>
        <v>-3.532166634</v>
      </c>
      <c r="H248" s="7">
        <f t="shared" si="4"/>
        <v>-0.1150454063</v>
      </c>
      <c r="I248" s="2" t="str">
        <f t="shared" si="5"/>
        <v>2014-09</v>
      </c>
      <c r="J248" s="2">
        <f t="shared" si="6"/>
        <v>2014</v>
      </c>
      <c r="K248" s="2">
        <f t="shared" si="7"/>
        <v>3</v>
      </c>
      <c r="L248" s="2" t="str">
        <f t="shared" si="8"/>
        <v>Tue</v>
      </c>
    </row>
    <row r="249" ht="15.0" customHeight="1">
      <c r="A249" s="4">
        <v>41885.0</v>
      </c>
      <c r="B249" s="2">
        <v>464067.8</v>
      </c>
      <c r="C249" s="2">
        <v>517180.54</v>
      </c>
      <c r="D249" s="2">
        <v>15100.0</v>
      </c>
      <c r="E249" s="5">
        <f t="shared" si="1"/>
        <v>30.73296689</v>
      </c>
      <c r="F249" s="7">
        <f t="shared" si="2"/>
        <v>-0.1144503885</v>
      </c>
      <c r="G249" s="5">
        <f t="shared" si="3"/>
        <v>-3.5174</v>
      </c>
      <c r="H249" s="7">
        <f t="shared" si="4"/>
        <v>-0.1144503885</v>
      </c>
      <c r="I249" s="2" t="str">
        <f t="shared" si="5"/>
        <v>2014-09</v>
      </c>
      <c r="J249" s="2">
        <f t="shared" si="6"/>
        <v>2014</v>
      </c>
      <c r="K249" s="2">
        <f t="shared" si="7"/>
        <v>4</v>
      </c>
      <c r="L249" s="2" t="str">
        <f t="shared" si="8"/>
        <v>Wed</v>
      </c>
    </row>
    <row r="250" ht="15.0" customHeight="1">
      <c r="A250" s="4">
        <v>41886.0</v>
      </c>
      <c r="B250" s="2">
        <v>312311.95</v>
      </c>
      <c r="C250" s="2">
        <v>348177.12</v>
      </c>
      <c r="D250" s="2">
        <v>10164.0</v>
      </c>
      <c r="E250" s="5">
        <f t="shared" si="1"/>
        <v>30.72726781</v>
      </c>
      <c r="F250" s="7">
        <f t="shared" si="2"/>
        <v>-0.1148376487</v>
      </c>
      <c r="G250" s="5">
        <f t="shared" si="3"/>
        <v>-3.528647186</v>
      </c>
      <c r="H250" s="7">
        <f t="shared" si="4"/>
        <v>-0.1148376487</v>
      </c>
      <c r="I250" s="2" t="str">
        <f t="shared" si="5"/>
        <v>2014-09</v>
      </c>
      <c r="J250" s="2">
        <f t="shared" si="6"/>
        <v>2014</v>
      </c>
      <c r="K250" s="2">
        <f t="shared" si="7"/>
        <v>5</v>
      </c>
      <c r="L250" s="2" t="str">
        <f t="shared" si="8"/>
        <v>Thu</v>
      </c>
    </row>
    <row r="251" ht="15.0" customHeight="1">
      <c r="A251" s="4">
        <v>41887.0</v>
      </c>
      <c r="B251" s="2">
        <v>501279.0</v>
      </c>
      <c r="C251" s="2">
        <v>558766.69</v>
      </c>
      <c r="D251" s="2">
        <v>16310.0</v>
      </c>
      <c r="E251" s="5">
        <f t="shared" si="1"/>
        <v>30.73445739</v>
      </c>
      <c r="F251" s="7">
        <f t="shared" si="2"/>
        <v>-0.1146820234</v>
      </c>
      <c r="G251" s="5">
        <f t="shared" si="3"/>
        <v>-3.524689761</v>
      </c>
      <c r="H251" s="7">
        <f t="shared" si="4"/>
        <v>-0.1146820234</v>
      </c>
      <c r="I251" s="2" t="str">
        <f t="shared" si="5"/>
        <v>2014-09</v>
      </c>
      <c r="J251" s="2">
        <f t="shared" si="6"/>
        <v>2014</v>
      </c>
      <c r="K251" s="2">
        <f t="shared" si="7"/>
        <v>6</v>
      </c>
      <c r="L251" s="2" t="str">
        <f t="shared" si="8"/>
        <v>Fri</v>
      </c>
    </row>
    <row r="252" ht="15.0" customHeight="1">
      <c r="A252" s="4">
        <v>41888.0</v>
      </c>
      <c r="B252" s="2">
        <v>552703.9</v>
      </c>
      <c r="C252" s="2">
        <v>616169.85</v>
      </c>
      <c r="D252" s="2">
        <v>17985.0</v>
      </c>
      <c r="E252" s="5">
        <f t="shared" si="1"/>
        <v>30.73138171</v>
      </c>
      <c r="F252" s="7">
        <f t="shared" si="2"/>
        <v>-0.1148281204</v>
      </c>
      <c r="G252" s="5">
        <f t="shared" si="3"/>
        <v>-3.5288268</v>
      </c>
      <c r="H252" s="7">
        <f t="shared" si="4"/>
        <v>-0.1148281204</v>
      </c>
      <c r="I252" s="2" t="str">
        <f t="shared" si="5"/>
        <v>2014-09</v>
      </c>
      <c r="J252" s="2">
        <f t="shared" si="6"/>
        <v>2014</v>
      </c>
      <c r="K252" s="2">
        <f t="shared" si="7"/>
        <v>7</v>
      </c>
      <c r="L252" s="2" t="str">
        <f t="shared" si="8"/>
        <v>Sat</v>
      </c>
    </row>
    <row r="253" ht="15.0" customHeight="1">
      <c r="A253" s="4">
        <v>41889.0</v>
      </c>
      <c r="B253" s="2">
        <v>234153.76</v>
      </c>
      <c r="C253" s="2">
        <v>261088.39</v>
      </c>
      <c r="D253" s="2">
        <v>7620.0</v>
      </c>
      <c r="E253" s="5">
        <f t="shared" si="1"/>
        <v>30.7288399</v>
      </c>
      <c r="F253" s="7">
        <f t="shared" si="2"/>
        <v>-0.1150296711</v>
      </c>
      <c r="G253" s="5">
        <f t="shared" si="3"/>
        <v>-3.534728346</v>
      </c>
      <c r="H253" s="7">
        <f t="shared" si="4"/>
        <v>-0.1150296711</v>
      </c>
      <c r="I253" s="2" t="str">
        <f t="shared" si="5"/>
        <v>2014-09</v>
      </c>
      <c r="J253" s="2">
        <f t="shared" si="6"/>
        <v>2014</v>
      </c>
      <c r="K253" s="2">
        <f t="shared" si="7"/>
        <v>1</v>
      </c>
      <c r="L253" s="2" t="str">
        <f t="shared" si="8"/>
        <v>Sun</v>
      </c>
    </row>
    <row r="254" ht="15.0" customHeight="1">
      <c r="A254" s="4">
        <v>41890.0</v>
      </c>
      <c r="B254" s="2">
        <v>244481.5</v>
      </c>
      <c r="C254" s="2">
        <v>272633.4</v>
      </c>
      <c r="D254" s="2">
        <v>7958.0</v>
      </c>
      <c r="E254" s="5">
        <f t="shared" si="1"/>
        <v>30.72147525</v>
      </c>
      <c r="F254" s="7">
        <f t="shared" si="2"/>
        <v>-0.115149408</v>
      </c>
      <c r="G254" s="5">
        <f t="shared" si="3"/>
        <v>-3.537559688</v>
      </c>
      <c r="H254" s="7">
        <f t="shared" si="4"/>
        <v>-0.115149408</v>
      </c>
      <c r="I254" s="2" t="str">
        <f t="shared" si="5"/>
        <v>2014-09</v>
      </c>
      <c r="J254" s="2">
        <f t="shared" si="6"/>
        <v>2014</v>
      </c>
      <c r="K254" s="2">
        <f t="shared" si="7"/>
        <v>2</v>
      </c>
      <c r="L254" s="2" t="str">
        <f t="shared" si="8"/>
        <v>Mon</v>
      </c>
    </row>
    <row r="255" ht="15.0" customHeight="1">
      <c r="A255" s="4">
        <v>41891.0</v>
      </c>
      <c r="B255" s="2">
        <v>122749.64</v>
      </c>
      <c r="C255" s="2">
        <v>120070.95</v>
      </c>
      <c r="D255" s="2">
        <v>3503.0</v>
      </c>
      <c r="E255" s="5">
        <f t="shared" si="1"/>
        <v>35.04129032</v>
      </c>
      <c r="F255" s="7">
        <f t="shared" si="2"/>
        <v>0.02182238579</v>
      </c>
      <c r="G255" s="5">
        <f t="shared" si="3"/>
        <v>0.7646845561</v>
      </c>
      <c r="H255" s="7">
        <f t="shared" si="4"/>
        <v>0.02182238579</v>
      </c>
      <c r="I255" s="2" t="str">
        <f t="shared" si="5"/>
        <v>2014-09</v>
      </c>
      <c r="J255" s="2">
        <f t="shared" si="6"/>
        <v>2014</v>
      </c>
      <c r="K255" s="2">
        <f t="shared" si="7"/>
        <v>3</v>
      </c>
      <c r="L255" s="2" t="str">
        <f t="shared" si="8"/>
        <v>Tue</v>
      </c>
    </row>
    <row r="256" ht="15.0" customHeight="1">
      <c r="A256" s="4">
        <v>41892.0</v>
      </c>
      <c r="B256" s="2">
        <v>78736.4</v>
      </c>
      <c r="C256" s="2">
        <v>77071.54</v>
      </c>
      <c r="D256" s="2">
        <v>2247.0</v>
      </c>
      <c r="E256" s="5">
        <f t="shared" si="1"/>
        <v>35.04067646</v>
      </c>
      <c r="F256" s="7">
        <f t="shared" si="2"/>
        <v>0.02114473103</v>
      </c>
      <c r="G256" s="5">
        <f t="shared" si="3"/>
        <v>0.7409256787</v>
      </c>
      <c r="H256" s="7">
        <f t="shared" si="4"/>
        <v>0.02114473103</v>
      </c>
      <c r="I256" s="2" t="str">
        <f t="shared" si="5"/>
        <v>2014-09</v>
      </c>
      <c r="J256" s="2">
        <f t="shared" si="6"/>
        <v>2014</v>
      </c>
      <c r="K256" s="2">
        <f t="shared" si="7"/>
        <v>4</v>
      </c>
      <c r="L256" s="2" t="str">
        <f t="shared" si="8"/>
        <v>Wed</v>
      </c>
    </row>
    <row r="257" ht="15.0" customHeight="1">
      <c r="A257" s="4">
        <v>41893.0</v>
      </c>
      <c r="B257" s="2">
        <v>70875.11</v>
      </c>
      <c r="C257" s="2">
        <v>69489.36</v>
      </c>
      <c r="D257" s="2">
        <v>2023.0</v>
      </c>
      <c r="E257" s="5">
        <f t="shared" si="1"/>
        <v>35.03465645</v>
      </c>
      <c r="F257" s="7">
        <f t="shared" si="2"/>
        <v>0.01955199787</v>
      </c>
      <c r="G257" s="5">
        <f t="shared" si="3"/>
        <v>0.6849975284</v>
      </c>
      <c r="H257" s="7">
        <f t="shared" si="4"/>
        <v>0.01955199787</v>
      </c>
      <c r="I257" s="2" t="str">
        <f t="shared" si="5"/>
        <v>2014-09</v>
      </c>
      <c r="J257" s="2">
        <f t="shared" si="6"/>
        <v>2014</v>
      </c>
      <c r="K257" s="2">
        <f t="shared" si="7"/>
        <v>5</v>
      </c>
      <c r="L257" s="2" t="str">
        <f t="shared" si="8"/>
        <v>Thu</v>
      </c>
    </row>
    <row r="258" ht="15.0" customHeight="1">
      <c r="A258" s="4">
        <v>41894.0</v>
      </c>
      <c r="B258" s="2">
        <v>148634.39</v>
      </c>
      <c r="C258" s="2">
        <v>145956.14</v>
      </c>
      <c r="D258" s="2">
        <v>4242.0</v>
      </c>
      <c r="E258" s="5">
        <f t="shared" si="1"/>
        <v>35.03875295</v>
      </c>
      <c r="F258" s="7">
        <f t="shared" si="2"/>
        <v>0.0180190466</v>
      </c>
      <c r="G258" s="5">
        <f t="shared" si="3"/>
        <v>0.6313649222</v>
      </c>
      <c r="H258" s="7">
        <f t="shared" si="4"/>
        <v>0.0180190466</v>
      </c>
      <c r="I258" s="2" t="str">
        <f t="shared" si="5"/>
        <v>2014-09</v>
      </c>
      <c r="J258" s="2">
        <f t="shared" si="6"/>
        <v>2014</v>
      </c>
      <c r="K258" s="2">
        <f t="shared" si="7"/>
        <v>6</v>
      </c>
      <c r="L258" s="2" t="str">
        <f t="shared" si="8"/>
        <v>Fri</v>
      </c>
    </row>
    <row r="259" ht="15.0" customHeight="1">
      <c r="A259" s="4">
        <v>41895.0</v>
      </c>
      <c r="B259" s="2">
        <v>171724.83</v>
      </c>
      <c r="C259" s="2">
        <v>168652.2</v>
      </c>
      <c r="D259" s="2">
        <v>4901.0</v>
      </c>
      <c r="E259" s="5">
        <f t="shared" si="1"/>
        <v>35.03873291</v>
      </c>
      <c r="F259" s="7">
        <f t="shared" si="2"/>
        <v>0.01789275319</v>
      </c>
      <c r="G259" s="5">
        <f t="shared" si="3"/>
        <v>0.6269394001</v>
      </c>
      <c r="H259" s="7">
        <f t="shared" si="4"/>
        <v>0.01789275319</v>
      </c>
      <c r="I259" s="2" t="str">
        <f t="shared" si="5"/>
        <v>2014-09</v>
      </c>
      <c r="J259" s="2">
        <f t="shared" si="6"/>
        <v>2014</v>
      </c>
      <c r="K259" s="2">
        <f t="shared" si="7"/>
        <v>7</v>
      </c>
      <c r="L259" s="2" t="str">
        <f t="shared" si="8"/>
        <v>Sat</v>
      </c>
    </row>
    <row r="260" ht="15.0" customHeight="1">
      <c r="A260" s="4">
        <v>41896.0</v>
      </c>
      <c r="B260" s="2">
        <v>86435.7</v>
      </c>
      <c r="C260" s="2">
        <v>84948.37</v>
      </c>
      <c r="D260" s="2">
        <v>2467.0</v>
      </c>
      <c r="E260" s="5">
        <f t="shared" si="1"/>
        <v>35.0367653</v>
      </c>
      <c r="F260" s="7">
        <f t="shared" si="2"/>
        <v>0.01720735761</v>
      </c>
      <c r="G260" s="5">
        <f t="shared" si="3"/>
        <v>0.60289015</v>
      </c>
      <c r="H260" s="7">
        <f t="shared" si="4"/>
        <v>0.01720735761</v>
      </c>
      <c r="I260" s="2" t="str">
        <f t="shared" si="5"/>
        <v>2014-09</v>
      </c>
      <c r="J260" s="2">
        <f t="shared" si="6"/>
        <v>2014</v>
      </c>
      <c r="K260" s="2">
        <f t="shared" si="7"/>
        <v>1</v>
      </c>
      <c r="L260" s="2" t="str">
        <f t="shared" si="8"/>
        <v>Sun</v>
      </c>
    </row>
    <row r="261" ht="15.0" customHeight="1">
      <c r="A261" s="4">
        <v>41897.0</v>
      </c>
      <c r="B261" s="2">
        <v>120236.18</v>
      </c>
      <c r="C261" s="2">
        <v>118094.04</v>
      </c>
      <c r="D261" s="2">
        <v>3432.0</v>
      </c>
      <c r="E261" s="5">
        <f t="shared" si="1"/>
        <v>35.03385198</v>
      </c>
      <c r="F261" s="7">
        <f t="shared" si="2"/>
        <v>0.01781610161</v>
      </c>
      <c r="G261" s="5">
        <f t="shared" si="3"/>
        <v>0.6241666667</v>
      </c>
      <c r="H261" s="7">
        <f t="shared" si="4"/>
        <v>0.01781610161</v>
      </c>
      <c r="I261" s="2" t="str">
        <f t="shared" si="5"/>
        <v>2014-09</v>
      </c>
      <c r="J261" s="2">
        <f t="shared" si="6"/>
        <v>2014</v>
      </c>
      <c r="K261" s="2">
        <f t="shared" si="7"/>
        <v>2</v>
      </c>
      <c r="L261" s="2" t="str">
        <f t="shared" si="8"/>
        <v>Mon</v>
      </c>
    </row>
    <row r="262" ht="15.0" customHeight="1">
      <c r="A262" s="4">
        <v>41898.0</v>
      </c>
      <c r="B262" s="2">
        <v>83204.2</v>
      </c>
      <c r="C262" s="2">
        <v>81753.42</v>
      </c>
      <c r="D262" s="2">
        <v>2375.0</v>
      </c>
      <c r="E262" s="5">
        <f t="shared" si="1"/>
        <v>35.03334737</v>
      </c>
      <c r="F262" s="7">
        <f t="shared" si="2"/>
        <v>0.01743637941</v>
      </c>
      <c r="G262" s="5">
        <f t="shared" si="3"/>
        <v>0.6108547368</v>
      </c>
      <c r="H262" s="7">
        <f t="shared" si="4"/>
        <v>0.01743637941</v>
      </c>
      <c r="I262" s="2" t="str">
        <f t="shared" si="5"/>
        <v>2014-09</v>
      </c>
      <c r="J262" s="2">
        <f t="shared" si="6"/>
        <v>2014</v>
      </c>
      <c r="K262" s="2">
        <f t="shared" si="7"/>
        <v>3</v>
      </c>
      <c r="L262" s="2" t="str">
        <f t="shared" si="8"/>
        <v>Tue</v>
      </c>
    </row>
    <row r="263" ht="15.0" customHeight="1">
      <c r="A263" s="4">
        <v>41899.0</v>
      </c>
      <c r="B263" s="2">
        <v>73768.03</v>
      </c>
      <c r="C263" s="2">
        <v>72471.92</v>
      </c>
      <c r="D263" s="2">
        <v>2105.0</v>
      </c>
      <c r="E263" s="5">
        <f t="shared" si="1"/>
        <v>35.04419477</v>
      </c>
      <c r="F263" s="7">
        <f t="shared" si="2"/>
        <v>0.01757007744</v>
      </c>
      <c r="G263" s="5">
        <f t="shared" si="3"/>
        <v>0.6157292162</v>
      </c>
      <c r="H263" s="7">
        <f t="shared" si="4"/>
        <v>0.01757007744</v>
      </c>
      <c r="I263" s="2" t="str">
        <f t="shared" si="5"/>
        <v>2014-09</v>
      </c>
      <c r="J263" s="2">
        <f t="shared" si="6"/>
        <v>2014</v>
      </c>
      <c r="K263" s="2">
        <f t="shared" si="7"/>
        <v>4</v>
      </c>
      <c r="L263" s="2" t="str">
        <f t="shared" si="8"/>
        <v>Wed</v>
      </c>
    </row>
    <row r="264" ht="15.0" customHeight="1">
      <c r="A264" s="4">
        <v>41900.0</v>
      </c>
      <c r="B264" s="2">
        <v>69425.45</v>
      </c>
      <c r="C264" s="2">
        <v>68280.38</v>
      </c>
      <c r="D264" s="2">
        <v>1982.0</v>
      </c>
      <c r="E264" s="5">
        <f t="shared" si="1"/>
        <v>35.02797679</v>
      </c>
      <c r="F264" s="7">
        <f t="shared" si="2"/>
        <v>0.01649351931</v>
      </c>
      <c r="G264" s="5">
        <f t="shared" si="3"/>
        <v>0.5777346115</v>
      </c>
      <c r="H264" s="7">
        <f t="shared" si="4"/>
        <v>0.01649351931</v>
      </c>
      <c r="I264" s="2" t="str">
        <f t="shared" si="5"/>
        <v>2014-09</v>
      </c>
      <c r="J264" s="2">
        <f t="shared" si="6"/>
        <v>2014</v>
      </c>
      <c r="K264" s="2">
        <f t="shared" si="7"/>
        <v>5</v>
      </c>
      <c r="L264" s="2" t="str">
        <f t="shared" si="8"/>
        <v>Thu</v>
      </c>
    </row>
    <row r="265" ht="15.0" customHeight="1">
      <c r="A265" s="4">
        <v>41901.0</v>
      </c>
      <c r="B265" s="2">
        <v>137154.95</v>
      </c>
      <c r="C265" s="2">
        <v>135276.91</v>
      </c>
      <c r="D265" s="2">
        <v>3915.0</v>
      </c>
      <c r="E265" s="5">
        <f t="shared" si="1"/>
        <v>35.03319285</v>
      </c>
      <c r="F265" s="7">
        <f t="shared" si="2"/>
        <v>0.01369283427</v>
      </c>
      <c r="G265" s="5">
        <f t="shared" si="3"/>
        <v>0.4797037037</v>
      </c>
      <c r="H265" s="7">
        <f t="shared" si="4"/>
        <v>0.01369283427</v>
      </c>
      <c r="I265" s="2" t="str">
        <f t="shared" si="5"/>
        <v>2014-09</v>
      </c>
      <c r="J265" s="2">
        <f t="shared" si="6"/>
        <v>2014</v>
      </c>
      <c r="K265" s="2">
        <f t="shared" si="7"/>
        <v>6</v>
      </c>
      <c r="L265" s="2" t="str">
        <f t="shared" si="8"/>
        <v>Fri</v>
      </c>
    </row>
    <row r="266" ht="15.0" customHeight="1">
      <c r="A266" s="4">
        <v>41902.0</v>
      </c>
      <c r="B266" s="2">
        <v>153569.06</v>
      </c>
      <c r="C266" s="2">
        <v>151376.14</v>
      </c>
      <c r="D266" s="2">
        <v>4383.0</v>
      </c>
      <c r="E266" s="5">
        <f t="shared" si="1"/>
        <v>35.03743098</v>
      </c>
      <c r="F266" s="7">
        <f t="shared" si="2"/>
        <v>0.01427969931</v>
      </c>
      <c r="G266" s="5">
        <f t="shared" si="3"/>
        <v>0.500323979</v>
      </c>
      <c r="H266" s="7">
        <f t="shared" si="4"/>
        <v>0.01427969931</v>
      </c>
      <c r="I266" s="2" t="str">
        <f t="shared" si="5"/>
        <v>2014-09</v>
      </c>
      <c r="J266" s="2">
        <f t="shared" si="6"/>
        <v>2014</v>
      </c>
      <c r="K266" s="2">
        <f t="shared" si="7"/>
        <v>7</v>
      </c>
      <c r="L266" s="2" t="str">
        <f t="shared" si="8"/>
        <v>Sat</v>
      </c>
    </row>
    <row r="267" ht="15.0" customHeight="1">
      <c r="A267" s="4">
        <v>41903.0</v>
      </c>
      <c r="B267" s="2">
        <v>75633.32</v>
      </c>
      <c r="C267" s="2">
        <v>74546.67</v>
      </c>
      <c r="D267" s="2">
        <v>2159.0</v>
      </c>
      <c r="E267" s="5">
        <f t="shared" si="1"/>
        <v>35.03164428</v>
      </c>
      <c r="F267" s="7">
        <f t="shared" si="2"/>
        <v>0.01436734497</v>
      </c>
      <c r="G267" s="5">
        <f t="shared" si="3"/>
        <v>0.5033117184</v>
      </c>
      <c r="H267" s="7">
        <f t="shared" si="4"/>
        <v>0.01436734497</v>
      </c>
      <c r="I267" s="2" t="str">
        <f t="shared" si="5"/>
        <v>2014-09</v>
      </c>
      <c r="J267" s="2">
        <f t="shared" si="6"/>
        <v>2014</v>
      </c>
      <c r="K267" s="2">
        <f t="shared" si="7"/>
        <v>1</v>
      </c>
      <c r="L267" s="2" t="str">
        <f t="shared" si="8"/>
        <v>Sun</v>
      </c>
    </row>
    <row r="268" ht="15.0" customHeight="1">
      <c r="A268" s="4">
        <v>41904.0</v>
      </c>
      <c r="B268" s="2">
        <v>90815.93</v>
      </c>
      <c r="C268" s="2">
        <v>89653.64</v>
      </c>
      <c r="D268" s="2">
        <v>2592.0</v>
      </c>
      <c r="E268" s="5">
        <f t="shared" si="1"/>
        <v>35.03701003</v>
      </c>
      <c r="F268" s="7">
        <f t="shared" si="2"/>
        <v>0.01279830532</v>
      </c>
      <c r="G268" s="5">
        <f t="shared" si="3"/>
        <v>0.4484143519</v>
      </c>
      <c r="H268" s="7">
        <f t="shared" si="4"/>
        <v>0.01279830532</v>
      </c>
      <c r="I268" s="2" t="str">
        <f t="shared" si="5"/>
        <v>2014-09</v>
      </c>
      <c r="J268" s="2">
        <f t="shared" si="6"/>
        <v>2014</v>
      </c>
      <c r="K268" s="2">
        <f t="shared" si="7"/>
        <v>2</v>
      </c>
      <c r="L268" s="2" t="str">
        <f t="shared" si="8"/>
        <v>Mon</v>
      </c>
    </row>
    <row r="269" ht="15.0" customHeight="1">
      <c r="A269" s="4">
        <v>41905.0</v>
      </c>
      <c r="B269" s="2">
        <v>110118.16</v>
      </c>
      <c r="C269" s="2">
        <v>108880.41</v>
      </c>
      <c r="D269" s="2">
        <v>3143.0</v>
      </c>
      <c r="E269" s="5">
        <f t="shared" si="1"/>
        <v>35.03600382</v>
      </c>
      <c r="F269" s="7">
        <f t="shared" si="2"/>
        <v>0.01124019871</v>
      </c>
      <c r="G269" s="5">
        <f t="shared" si="3"/>
        <v>0.3938116449</v>
      </c>
      <c r="H269" s="7">
        <f t="shared" si="4"/>
        <v>0.01124019871</v>
      </c>
      <c r="I269" s="2" t="str">
        <f t="shared" si="5"/>
        <v>2014-09</v>
      </c>
      <c r="J269" s="2">
        <f t="shared" si="6"/>
        <v>2014</v>
      </c>
      <c r="K269" s="2">
        <f t="shared" si="7"/>
        <v>3</v>
      </c>
      <c r="L269" s="2" t="str">
        <f t="shared" si="8"/>
        <v>Tue</v>
      </c>
    </row>
    <row r="270" ht="15.0" customHeight="1">
      <c r="A270" s="4">
        <v>41906.0</v>
      </c>
      <c r="B270" s="2">
        <v>209908.38</v>
      </c>
      <c r="C270" s="2">
        <v>223554.09</v>
      </c>
      <c r="D270" s="2">
        <v>6457.0</v>
      </c>
      <c r="E270" s="5">
        <f t="shared" si="1"/>
        <v>32.50865417</v>
      </c>
      <c r="F270" s="7">
        <f t="shared" si="2"/>
        <v>-0.06500793346</v>
      </c>
      <c r="G270" s="5">
        <f t="shared" si="3"/>
        <v>-2.113320427</v>
      </c>
      <c r="H270" s="7">
        <f t="shared" si="4"/>
        <v>-0.06500793346</v>
      </c>
      <c r="I270" s="2" t="str">
        <f t="shared" si="5"/>
        <v>2014-09</v>
      </c>
      <c r="J270" s="2">
        <f t="shared" si="6"/>
        <v>2014</v>
      </c>
      <c r="K270" s="2">
        <f t="shared" si="7"/>
        <v>4</v>
      </c>
      <c r="L270" s="2" t="str">
        <f t="shared" si="8"/>
        <v>Wed</v>
      </c>
    </row>
    <row r="271" ht="15.0" customHeight="1">
      <c r="A271" s="4">
        <v>41907.0</v>
      </c>
      <c r="B271" s="2">
        <v>358365.68</v>
      </c>
      <c r="C271" s="2">
        <v>382967.98</v>
      </c>
      <c r="D271" s="2">
        <v>11039.0</v>
      </c>
      <c r="E271" s="5">
        <f t="shared" si="1"/>
        <v>32.46359996</v>
      </c>
      <c r="F271" s="7">
        <f t="shared" si="2"/>
        <v>-0.06865138425</v>
      </c>
      <c r="G271" s="5">
        <f t="shared" si="3"/>
        <v>-2.228671075</v>
      </c>
      <c r="H271" s="7">
        <f t="shared" si="4"/>
        <v>-0.06865138425</v>
      </c>
      <c r="I271" s="2" t="str">
        <f t="shared" si="5"/>
        <v>2014-09</v>
      </c>
      <c r="J271" s="2">
        <f t="shared" si="6"/>
        <v>2014</v>
      </c>
      <c r="K271" s="2">
        <f t="shared" si="7"/>
        <v>5</v>
      </c>
      <c r="L271" s="2" t="str">
        <f t="shared" si="8"/>
        <v>Thu</v>
      </c>
    </row>
    <row r="272" ht="15.0" customHeight="1">
      <c r="A272" s="4">
        <v>41908.0</v>
      </c>
      <c r="B272" s="2">
        <v>585464.0</v>
      </c>
      <c r="C272" s="2">
        <v>625980.93</v>
      </c>
      <c r="D272" s="2">
        <v>18036.0</v>
      </c>
      <c r="E272" s="5">
        <f t="shared" si="1"/>
        <v>32.46085607</v>
      </c>
      <c r="F272" s="7">
        <f t="shared" si="2"/>
        <v>-0.06920481874</v>
      </c>
      <c r="G272" s="5">
        <f t="shared" si="3"/>
        <v>-2.24644766</v>
      </c>
      <c r="H272" s="7">
        <f t="shared" si="4"/>
        <v>-0.06920481874</v>
      </c>
      <c r="I272" s="2" t="str">
        <f t="shared" si="5"/>
        <v>2014-09</v>
      </c>
      <c r="J272" s="2">
        <f t="shared" si="6"/>
        <v>2014</v>
      </c>
      <c r="K272" s="2">
        <f t="shared" si="7"/>
        <v>6</v>
      </c>
      <c r="L272" s="2" t="str">
        <f t="shared" si="8"/>
        <v>Fri</v>
      </c>
    </row>
    <row r="273" ht="15.0" customHeight="1">
      <c r="A273" s="4">
        <v>41909.0</v>
      </c>
      <c r="B273" s="2">
        <v>617019.09</v>
      </c>
      <c r="C273" s="2">
        <v>661010.59</v>
      </c>
      <c r="D273" s="2">
        <v>19017.0</v>
      </c>
      <c r="E273" s="5">
        <f t="shared" si="1"/>
        <v>32.44565862</v>
      </c>
      <c r="F273" s="7">
        <f t="shared" si="2"/>
        <v>-0.07129682163</v>
      </c>
      <c r="G273" s="5">
        <f t="shared" si="3"/>
        <v>-2.313272335</v>
      </c>
      <c r="H273" s="7">
        <f t="shared" si="4"/>
        <v>-0.07129682163</v>
      </c>
      <c r="I273" s="2" t="str">
        <f t="shared" si="5"/>
        <v>2014-09</v>
      </c>
      <c r="J273" s="2">
        <f t="shared" si="6"/>
        <v>2014</v>
      </c>
      <c r="K273" s="2">
        <f t="shared" si="7"/>
        <v>7</v>
      </c>
      <c r="L273" s="2" t="str">
        <f t="shared" si="8"/>
        <v>Sat</v>
      </c>
    </row>
    <row r="274" ht="15.0" customHeight="1">
      <c r="A274" s="4">
        <v>41910.0</v>
      </c>
      <c r="B274" s="2">
        <v>283850.6</v>
      </c>
      <c r="C274" s="2">
        <v>304440.65</v>
      </c>
      <c r="D274" s="2">
        <v>8747.0</v>
      </c>
      <c r="E274" s="5">
        <f t="shared" si="1"/>
        <v>32.4511947</v>
      </c>
      <c r="F274" s="7">
        <f t="shared" si="2"/>
        <v>-0.07253833531</v>
      </c>
      <c r="G274" s="5">
        <f t="shared" si="3"/>
        <v>-2.353955642</v>
      </c>
      <c r="H274" s="7">
        <f t="shared" si="4"/>
        <v>-0.07253833531</v>
      </c>
      <c r="I274" s="2" t="str">
        <f t="shared" si="5"/>
        <v>2014-09</v>
      </c>
      <c r="J274" s="2">
        <f t="shared" si="6"/>
        <v>2014</v>
      </c>
      <c r="K274" s="2">
        <f t="shared" si="7"/>
        <v>1</v>
      </c>
      <c r="L274" s="2" t="str">
        <f t="shared" si="8"/>
        <v>Sun</v>
      </c>
    </row>
    <row r="275" ht="15.0" customHeight="1">
      <c r="A275" s="4">
        <v>41911.0</v>
      </c>
      <c r="B275" s="2">
        <v>264317.11</v>
      </c>
      <c r="C275" s="2">
        <v>283912.97</v>
      </c>
      <c r="D275" s="2">
        <v>8147.0</v>
      </c>
      <c r="E275" s="5">
        <f t="shared" si="1"/>
        <v>32.44348963</v>
      </c>
      <c r="F275" s="7">
        <f t="shared" si="2"/>
        <v>-0.07413769014</v>
      </c>
      <c r="G275" s="5">
        <f t="shared" si="3"/>
        <v>-2.405285381</v>
      </c>
      <c r="H275" s="7">
        <f t="shared" si="4"/>
        <v>-0.07413769014</v>
      </c>
      <c r="I275" s="2" t="str">
        <f t="shared" si="5"/>
        <v>2014-09</v>
      </c>
      <c r="J275" s="2">
        <f t="shared" si="6"/>
        <v>2014</v>
      </c>
      <c r="K275" s="2">
        <f t="shared" si="7"/>
        <v>2</v>
      </c>
      <c r="L275" s="2" t="str">
        <f t="shared" si="8"/>
        <v>Mon</v>
      </c>
    </row>
    <row r="276" ht="15.0" customHeight="1">
      <c r="A276" s="4">
        <v>41912.0</v>
      </c>
      <c r="B276" s="2">
        <v>358024.98</v>
      </c>
      <c r="C276" s="2">
        <v>384823.44</v>
      </c>
      <c r="D276" s="2">
        <v>11036.0</v>
      </c>
      <c r="E276" s="5">
        <f t="shared" si="1"/>
        <v>32.4415531</v>
      </c>
      <c r="F276" s="7">
        <f t="shared" si="2"/>
        <v>-0.07485081069</v>
      </c>
      <c r="G276" s="5">
        <f t="shared" si="3"/>
        <v>-2.428276549</v>
      </c>
      <c r="H276" s="7">
        <f t="shared" si="4"/>
        <v>-0.07485081069</v>
      </c>
      <c r="I276" s="2" t="str">
        <f t="shared" si="5"/>
        <v>2014-09</v>
      </c>
      <c r="J276" s="2">
        <f t="shared" si="6"/>
        <v>2014</v>
      </c>
      <c r="K276" s="2">
        <f t="shared" si="7"/>
        <v>3</v>
      </c>
      <c r="L276" s="2" t="str">
        <f t="shared" si="8"/>
        <v>Tue</v>
      </c>
    </row>
    <row r="277" ht="15.0" customHeight="1">
      <c r="A277" s="4">
        <v>41913.0</v>
      </c>
      <c r="B277" s="2">
        <v>594438.28</v>
      </c>
      <c r="C277" s="2">
        <v>639306.57</v>
      </c>
      <c r="D277" s="2">
        <v>18330.0</v>
      </c>
      <c r="E277" s="5">
        <f t="shared" si="1"/>
        <v>32.42980251</v>
      </c>
      <c r="F277" s="7">
        <f t="shared" si="2"/>
        <v>-0.07548014909</v>
      </c>
      <c r="G277" s="5">
        <f t="shared" si="3"/>
        <v>-2.447806328</v>
      </c>
      <c r="H277" s="7">
        <f t="shared" si="4"/>
        <v>-0.07548014909</v>
      </c>
      <c r="I277" s="2" t="str">
        <f t="shared" si="5"/>
        <v>2014-10</v>
      </c>
      <c r="J277" s="2">
        <f t="shared" si="6"/>
        <v>2014</v>
      </c>
      <c r="K277" s="2">
        <f t="shared" si="7"/>
        <v>4</v>
      </c>
      <c r="L277" s="2" t="str">
        <f t="shared" si="8"/>
        <v>Wed</v>
      </c>
    </row>
    <row r="278" ht="15.0" customHeight="1">
      <c r="A278" s="4">
        <v>41914.0</v>
      </c>
      <c r="B278" s="2">
        <v>470507.66</v>
      </c>
      <c r="C278" s="2">
        <v>506072.03</v>
      </c>
      <c r="D278" s="2">
        <v>14503.0</v>
      </c>
      <c r="E278" s="5">
        <f t="shared" si="1"/>
        <v>32.44209198</v>
      </c>
      <c r="F278" s="7">
        <f t="shared" si="2"/>
        <v>-0.07558722848</v>
      </c>
      <c r="G278" s="5">
        <f t="shared" si="3"/>
        <v>-2.452207819</v>
      </c>
      <c r="H278" s="7">
        <f t="shared" si="4"/>
        <v>-0.07558722848</v>
      </c>
      <c r="I278" s="2" t="str">
        <f t="shared" si="5"/>
        <v>2014-10</v>
      </c>
      <c r="J278" s="2">
        <f t="shared" si="6"/>
        <v>2014</v>
      </c>
      <c r="K278" s="2">
        <f t="shared" si="7"/>
        <v>5</v>
      </c>
      <c r="L278" s="2" t="str">
        <f t="shared" si="8"/>
        <v>Thu</v>
      </c>
    </row>
    <row r="279" ht="15.0" customHeight="1">
      <c r="A279" s="4">
        <v>41915.0</v>
      </c>
      <c r="B279" s="2">
        <v>518693.53</v>
      </c>
      <c r="C279" s="2">
        <v>557939.37</v>
      </c>
      <c r="D279" s="2">
        <v>15986.0</v>
      </c>
      <c r="E279" s="5">
        <f t="shared" si="1"/>
        <v>32.44673652</v>
      </c>
      <c r="F279" s="7">
        <f t="shared" si="2"/>
        <v>-0.07566286782</v>
      </c>
      <c r="G279" s="5">
        <f t="shared" si="3"/>
        <v>-2.455013136</v>
      </c>
      <c r="H279" s="7">
        <f t="shared" si="4"/>
        <v>-0.07566286782</v>
      </c>
      <c r="I279" s="2" t="str">
        <f t="shared" si="5"/>
        <v>2014-10</v>
      </c>
      <c r="J279" s="2">
        <f t="shared" si="6"/>
        <v>2014</v>
      </c>
      <c r="K279" s="2">
        <f t="shared" si="7"/>
        <v>6</v>
      </c>
      <c r="L279" s="2" t="str">
        <f t="shared" si="8"/>
        <v>Fri</v>
      </c>
    </row>
    <row r="280" ht="15.0" customHeight="1">
      <c r="A280" s="4">
        <v>41916.0</v>
      </c>
      <c r="B280" s="2">
        <v>656245.83</v>
      </c>
      <c r="C280" s="2">
        <v>705891.3</v>
      </c>
      <c r="D280" s="2">
        <v>20223.0</v>
      </c>
      <c r="E280" s="5">
        <f t="shared" si="1"/>
        <v>32.45046877</v>
      </c>
      <c r="F280" s="7">
        <f t="shared" si="2"/>
        <v>-0.07565072071</v>
      </c>
      <c r="G280" s="5">
        <f t="shared" si="3"/>
        <v>-2.45490135</v>
      </c>
      <c r="H280" s="7">
        <f t="shared" si="4"/>
        <v>-0.07565072071</v>
      </c>
      <c r="I280" s="2" t="str">
        <f t="shared" si="5"/>
        <v>2014-10</v>
      </c>
      <c r="J280" s="2">
        <f t="shared" si="6"/>
        <v>2014</v>
      </c>
      <c r="K280" s="2">
        <f t="shared" si="7"/>
        <v>7</v>
      </c>
      <c r="L280" s="2" t="str">
        <f t="shared" si="8"/>
        <v>Sat</v>
      </c>
    </row>
    <row r="281" ht="15.0" customHeight="1">
      <c r="A281" s="4">
        <v>41917.0</v>
      </c>
      <c r="B281" s="2">
        <v>280055.12</v>
      </c>
      <c r="C281" s="2">
        <v>301279.65</v>
      </c>
      <c r="D281" s="2">
        <v>8631.0</v>
      </c>
      <c r="E281" s="5">
        <f t="shared" si="1"/>
        <v>32.44758661</v>
      </c>
      <c r="F281" s="7">
        <f t="shared" si="2"/>
        <v>-0.07578697365</v>
      </c>
      <c r="G281" s="5">
        <f t="shared" si="3"/>
        <v>-2.459104391</v>
      </c>
      <c r="H281" s="7">
        <f t="shared" si="4"/>
        <v>-0.07578697365</v>
      </c>
      <c r="I281" s="2" t="str">
        <f t="shared" si="5"/>
        <v>2014-10</v>
      </c>
      <c r="J281" s="2">
        <f t="shared" si="6"/>
        <v>2014</v>
      </c>
      <c r="K281" s="2">
        <f t="shared" si="7"/>
        <v>1</v>
      </c>
      <c r="L281" s="2" t="str">
        <f t="shared" si="8"/>
        <v>Sun</v>
      </c>
    </row>
    <row r="282" ht="15.0" customHeight="1">
      <c r="A282" s="4">
        <v>41918.0</v>
      </c>
      <c r="B282" s="2">
        <v>375648.02</v>
      </c>
      <c r="C282" s="2">
        <v>404178.92</v>
      </c>
      <c r="D282" s="2">
        <v>11579.0</v>
      </c>
      <c r="E282" s="5">
        <f t="shared" si="1"/>
        <v>32.44218154</v>
      </c>
      <c r="F282" s="7">
        <f t="shared" si="2"/>
        <v>-0.07595115236</v>
      </c>
      <c r="G282" s="5">
        <f t="shared" si="3"/>
        <v>-2.464021073</v>
      </c>
      <c r="H282" s="7">
        <f t="shared" si="4"/>
        <v>-0.07595115236</v>
      </c>
      <c r="I282" s="2" t="str">
        <f t="shared" si="5"/>
        <v>2014-10</v>
      </c>
      <c r="J282" s="2">
        <f t="shared" si="6"/>
        <v>2014</v>
      </c>
      <c r="K282" s="2">
        <f t="shared" si="7"/>
        <v>2</v>
      </c>
      <c r="L282" s="2" t="str">
        <f t="shared" si="8"/>
        <v>Mon</v>
      </c>
    </row>
    <row r="283" ht="15.0" customHeight="1">
      <c r="A283" s="4">
        <v>41919.0</v>
      </c>
      <c r="B283" s="2">
        <v>78111.72</v>
      </c>
      <c r="C283" s="2">
        <v>74251.87</v>
      </c>
      <c r="D283" s="2">
        <v>2127.0</v>
      </c>
      <c r="E283" s="5">
        <f t="shared" si="1"/>
        <v>36.72389281</v>
      </c>
      <c r="F283" s="7">
        <f t="shared" si="2"/>
        <v>0.04941447967</v>
      </c>
      <c r="G283" s="5">
        <f t="shared" si="3"/>
        <v>1.814692055</v>
      </c>
      <c r="H283" s="7">
        <f t="shared" si="4"/>
        <v>0.04941447967</v>
      </c>
      <c r="I283" s="2" t="str">
        <f t="shared" si="5"/>
        <v>2014-10</v>
      </c>
      <c r="J283" s="2">
        <f t="shared" si="6"/>
        <v>2014</v>
      </c>
      <c r="K283" s="2">
        <f t="shared" si="7"/>
        <v>3</v>
      </c>
      <c r="L283" s="2" t="str">
        <f t="shared" si="8"/>
        <v>Tue</v>
      </c>
    </row>
    <row r="284" ht="15.0" customHeight="1">
      <c r="A284" s="4">
        <v>41920.0</v>
      </c>
      <c r="B284" s="2">
        <v>70509.13</v>
      </c>
      <c r="C284" s="2">
        <v>67141.98</v>
      </c>
      <c r="D284" s="2">
        <v>1923.0</v>
      </c>
      <c r="E284" s="5">
        <f t="shared" si="1"/>
        <v>36.66621425</v>
      </c>
      <c r="F284" s="7">
        <f t="shared" si="2"/>
        <v>0.04775480849</v>
      </c>
      <c r="G284" s="5">
        <f t="shared" si="3"/>
        <v>1.75098804</v>
      </c>
      <c r="H284" s="7">
        <f t="shared" si="4"/>
        <v>0.04775480849</v>
      </c>
      <c r="I284" s="2" t="str">
        <f t="shared" si="5"/>
        <v>2014-10</v>
      </c>
      <c r="J284" s="2">
        <f t="shared" si="6"/>
        <v>2014</v>
      </c>
      <c r="K284" s="2">
        <f t="shared" si="7"/>
        <v>4</v>
      </c>
      <c r="L284" s="2" t="str">
        <f t="shared" si="8"/>
        <v>Wed</v>
      </c>
    </row>
    <row r="285" ht="15.0" customHeight="1">
      <c r="A285" s="4">
        <v>41921.0</v>
      </c>
      <c r="B285" s="2">
        <v>103281.31</v>
      </c>
      <c r="C285" s="2">
        <v>98065.94</v>
      </c>
      <c r="D285" s="2">
        <v>2809.0</v>
      </c>
      <c r="E285" s="5">
        <f t="shared" si="1"/>
        <v>36.76799929</v>
      </c>
      <c r="F285" s="7">
        <f t="shared" si="2"/>
        <v>0.05049674525</v>
      </c>
      <c r="G285" s="5">
        <f t="shared" si="3"/>
        <v>1.856664293</v>
      </c>
      <c r="H285" s="7">
        <f t="shared" si="4"/>
        <v>0.05049674525</v>
      </c>
      <c r="I285" s="2" t="str">
        <f t="shared" si="5"/>
        <v>2014-10</v>
      </c>
      <c r="J285" s="2">
        <f t="shared" si="6"/>
        <v>2014</v>
      </c>
      <c r="K285" s="2">
        <f t="shared" si="7"/>
        <v>5</v>
      </c>
      <c r="L285" s="2" t="str">
        <f t="shared" si="8"/>
        <v>Thu</v>
      </c>
    </row>
    <row r="286" ht="15.0" customHeight="1">
      <c r="A286" s="4">
        <v>41922.0</v>
      </c>
      <c r="B286" s="2">
        <v>179841.43</v>
      </c>
      <c r="C286" s="2">
        <v>170757.58</v>
      </c>
      <c r="D286" s="2">
        <v>4891.0</v>
      </c>
      <c r="E286" s="5">
        <f t="shared" si="1"/>
        <v>36.76986915</v>
      </c>
      <c r="F286" s="7">
        <f t="shared" si="2"/>
        <v>0.05051033013</v>
      </c>
      <c r="G286" s="5">
        <f t="shared" si="3"/>
        <v>1.857258229</v>
      </c>
      <c r="H286" s="7">
        <f t="shared" si="4"/>
        <v>0.05051033013</v>
      </c>
      <c r="I286" s="2" t="str">
        <f t="shared" si="5"/>
        <v>2014-10</v>
      </c>
      <c r="J286" s="2">
        <f t="shared" si="6"/>
        <v>2014</v>
      </c>
      <c r="K286" s="2">
        <f t="shared" si="7"/>
        <v>6</v>
      </c>
      <c r="L286" s="2" t="str">
        <f t="shared" si="8"/>
        <v>Fri</v>
      </c>
    </row>
    <row r="287" ht="15.0" customHeight="1">
      <c r="A287" s="4">
        <v>41923.0</v>
      </c>
      <c r="B287" s="2">
        <v>138038.24</v>
      </c>
      <c r="C287" s="2">
        <v>131192.32</v>
      </c>
      <c r="D287" s="2">
        <v>3758.0</v>
      </c>
      <c r="E287" s="5">
        <f t="shared" si="1"/>
        <v>36.73183608</v>
      </c>
      <c r="F287" s="7">
        <f t="shared" si="2"/>
        <v>0.04959437327</v>
      </c>
      <c r="G287" s="5">
        <f t="shared" si="3"/>
        <v>1.82169239</v>
      </c>
      <c r="H287" s="7">
        <f t="shared" si="4"/>
        <v>0.04959437327</v>
      </c>
      <c r="I287" s="2" t="str">
        <f t="shared" si="5"/>
        <v>2014-10</v>
      </c>
      <c r="J287" s="2">
        <f t="shared" si="6"/>
        <v>2014</v>
      </c>
      <c r="K287" s="2">
        <f t="shared" si="7"/>
        <v>7</v>
      </c>
      <c r="L287" s="2" t="str">
        <f t="shared" si="8"/>
        <v>Sat</v>
      </c>
    </row>
    <row r="288" ht="15.0" customHeight="1">
      <c r="A288" s="4">
        <v>41924.0</v>
      </c>
      <c r="B288" s="2">
        <v>61037.56</v>
      </c>
      <c r="C288" s="2">
        <v>57992.34</v>
      </c>
      <c r="D288" s="2">
        <v>1661.0</v>
      </c>
      <c r="E288" s="5">
        <f t="shared" si="1"/>
        <v>36.74747742</v>
      </c>
      <c r="F288" s="7">
        <f t="shared" si="2"/>
        <v>0.04989091962</v>
      </c>
      <c r="G288" s="5">
        <f t="shared" si="3"/>
        <v>1.833365443</v>
      </c>
      <c r="H288" s="7">
        <f t="shared" si="4"/>
        <v>0.04989091962</v>
      </c>
      <c r="I288" s="2" t="str">
        <f t="shared" si="5"/>
        <v>2014-10</v>
      </c>
      <c r="J288" s="2">
        <f t="shared" si="6"/>
        <v>2014</v>
      </c>
      <c r="K288" s="2">
        <f t="shared" si="7"/>
        <v>1</v>
      </c>
      <c r="L288" s="2" t="str">
        <f t="shared" si="8"/>
        <v>Sun</v>
      </c>
    </row>
    <row r="289" ht="15.0" customHeight="1">
      <c r="A289" s="4">
        <v>41925.0</v>
      </c>
      <c r="B289" s="2">
        <v>86799.76</v>
      </c>
      <c r="C289" s="2">
        <v>82392.33</v>
      </c>
      <c r="D289" s="2">
        <v>2360.0</v>
      </c>
      <c r="E289" s="5">
        <f t="shared" si="1"/>
        <v>36.77955932</v>
      </c>
      <c r="F289" s="7">
        <f t="shared" si="2"/>
        <v>0.05077698372</v>
      </c>
      <c r="G289" s="5">
        <f t="shared" si="3"/>
        <v>1.867555085</v>
      </c>
      <c r="H289" s="7">
        <f t="shared" si="4"/>
        <v>0.05077698372</v>
      </c>
      <c r="I289" s="2" t="str">
        <f t="shared" si="5"/>
        <v>2014-10</v>
      </c>
      <c r="J289" s="2">
        <f t="shared" si="6"/>
        <v>2014</v>
      </c>
      <c r="K289" s="2">
        <f t="shared" si="7"/>
        <v>2</v>
      </c>
      <c r="L289" s="2" t="str">
        <f t="shared" si="8"/>
        <v>Mon</v>
      </c>
    </row>
    <row r="290" ht="15.0" customHeight="1">
      <c r="A290" s="4">
        <v>41926.0</v>
      </c>
      <c r="B290" s="2">
        <v>69570.5</v>
      </c>
      <c r="C290" s="2">
        <v>66313.94</v>
      </c>
      <c r="D290" s="2">
        <v>1894.0</v>
      </c>
      <c r="E290" s="5">
        <f t="shared" si="1"/>
        <v>36.73204857</v>
      </c>
      <c r="F290" s="7">
        <f t="shared" si="2"/>
        <v>0.0468094954</v>
      </c>
      <c r="G290" s="5">
        <f t="shared" si="3"/>
        <v>1.719408659</v>
      </c>
      <c r="H290" s="7">
        <f t="shared" si="4"/>
        <v>0.0468094954</v>
      </c>
      <c r="I290" s="2" t="str">
        <f t="shared" si="5"/>
        <v>2014-10</v>
      </c>
      <c r="J290" s="2">
        <f t="shared" si="6"/>
        <v>2014</v>
      </c>
      <c r="K290" s="2">
        <f t="shared" si="7"/>
        <v>3</v>
      </c>
      <c r="L290" s="2" t="str">
        <f t="shared" si="8"/>
        <v>Tue</v>
      </c>
    </row>
    <row r="291" ht="15.0" customHeight="1">
      <c r="A291" s="4">
        <v>41927.0</v>
      </c>
      <c r="B291" s="2">
        <v>130476.36</v>
      </c>
      <c r="C291" s="2">
        <v>124398.43</v>
      </c>
      <c r="D291" s="2">
        <v>3548.0</v>
      </c>
      <c r="E291" s="5">
        <f t="shared" si="1"/>
        <v>36.77462232</v>
      </c>
      <c r="F291" s="7">
        <f t="shared" si="2"/>
        <v>0.04658261466</v>
      </c>
      <c r="G291" s="5">
        <f t="shared" si="3"/>
        <v>1.713058061</v>
      </c>
      <c r="H291" s="7">
        <f t="shared" si="4"/>
        <v>0.04658261466</v>
      </c>
      <c r="I291" s="2" t="str">
        <f t="shared" si="5"/>
        <v>2014-10</v>
      </c>
      <c r="J291" s="2">
        <f t="shared" si="6"/>
        <v>2014</v>
      </c>
      <c r="K291" s="2">
        <f t="shared" si="7"/>
        <v>4</v>
      </c>
      <c r="L291" s="2" t="str">
        <f t="shared" si="8"/>
        <v>Wed</v>
      </c>
    </row>
    <row r="292" ht="15.0" customHeight="1">
      <c r="A292" s="4">
        <v>41928.0</v>
      </c>
      <c r="B292" s="2">
        <v>95229.77</v>
      </c>
      <c r="C292" s="2">
        <v>91087.85</v>
      </c>
      <c r="D292" s="2">
        <v>2591.0</v>
      </c>
      <c r="E292" s="5">
        <f t="shared" si="1"/>
        <v>36.75406021</v>
      </c>
      <c r="F292" s="7">
        <f t="shared" si="2"/>
        <v>0.04349396202</v>
      </c>
      <c r="G292" s="5">
        <f t="shared" si="3"/>
        <v>1.598579699</v>
      </c>
      <c r="H292" s="7">
        <f t="shared" si="4"/>
        <v>0.04349396202</v>
      </c>
      <c r="I292" s="2" t="str">
        <f t="shared" si="5"/>
        <v>2014-10</v>
      </c>
      <c r="J292" s="2">
        <f t="shared" si="6"/>
        <v>2014</v>
      </c>
      <c r="K292" s="2">
        <f t="shared" si="7"/>
        <v>5</v>
      </c>
      <c r="L292" s="2" t="str">
        <f t="shared" si="8"/>
        <v>Thu</v>
      </c>
    </row>
    <row r="293" ht="15.0" customHeight="1">
      <c r="A293" s="4">
        <v>41929.0</v>
      </c>
      <c r="B293" s="2">
        <v>121057.86</v>
      </c>
      <c r="C293" s="2">
        <v>116949.79</v>
      </c>
      <c r="D293" s="2">
        <v>3293.0</v>
      </c>
      <c r="E293" s="5">
        <f t="shared" si="1"/>
        <v>36.76218038</v>
      </c>
      <c r="F293" s="7">
        <f t="shared" si="2"/>
        <v>0.03393476475</v>
      </c>
      <c r="G293" s="5">
        <f t="shared" si="3"/>
        <v>1.247515943</v>
      </c>
      <c r="H293" s="7">
        <f t="shared" si="4"/>
        <v>0.03393476475</v>
      </c>
      <c r="I293" s="2" t="str">
        <f t="shared" si="5"/>
        <v>2014-10</v>
      </c>
      <c r="J293" s="2">
        <f t="shared" si="6"/>
        <v>2014</v>
      </c>
      <c r="K293" s="2">
        <f t="shared" si="7"/>
        <v>6</v>
      </c>
      <c r="L293" s="2" t="str">
        <f t="shared" si="8"/>
        <v>Fri</v>
      </c>
    </row>
    <row r="294" ht="15.0" customHeight="1">
      <c r="A294" s="4">
        <v>41930.0</v>
      </c>
      <c r="B294" s="2">
        <v>169498.92</v>
      </c>
      <c r="C294" s="2">
        <v>164492.95</v>
      </c>
      <c r="D294" s="2">
        <v>4611.0</v>
      </c>
      <c r="E294" s="5">
        <f t="shared" si="1"/>
        <v>36.7596877</v>
      </c>
      <c r="F294" s="7">
        <f t="shared" si="2"/>
        <v>0.02953393449</v>
      </c>
      <c r="G294" s="5">
        <f t="shared" si="3"/>
        <v>1.085658209</v>
      </c>
      <c r="H294" s="7">
        <f t="shared" si="4"/>
        <v>0.02953393449</v>
      </c>
      <c r="I294" s="2" t="str">
        <f t="shared" si="5"/>
        <v>2014-10</v>
      </c>
      <c r="J294" s="2">
        <f t="shared" si="6"/>
        <v>2014</v>
      </c>
      <c r="K294" s="2">
        <f t="shared" si="7"/>
        <v>7</v>
      </c>
      <c r="L294" s="2" t="str">
        <f t="shared" si="8"/>
        <v>Sat</v>
      </c>
    </row>
    <row r="295" ht="15.0" customHeight="1">
      <c r="A295" s="4">
        <v>41931.0</v>
      </c>
      <c r="B295" s="2">
        <v>90692.38</v>
      </c>
      <c r="C295" s="2">
        <v>87911.21</v>
      </c>
      <c r="D295" s="2">
        <v>2468.0</v>
      </c>
      <c r="E295" s="5">
        <f t="shared" si="1"/>
        <v>36.74731767</v>
      </c>
      <c r="F295" s="7">
        <f t="shared" si="2"/>
        <v>0.03066597216</v>
      </c>
      <c r="G295" s="5">
        <f t="shared" si="3"/>
        <v>1.12689222</v>
      </c>
      <c r="H295" s="7">
        <f t="shared" si="4"/>
        <v>0.03066597216</v>
      </c>
      <c r="I295" s="2" t="str">
        <f t="shared" si="5"/>
        <v>2014-10</v>
      </c>
      <c r="J295" s="2">
        <f t="shared" si="6"/>
        <v>2014</v>
      </c>
      <c r="K295" s="2">
        <f t="shared" si="7"/>
        <v>1</v>
      </c>
      <c r="L295" s="2" t="str">
        <f t="shared" si="8"/>
        <v>Sun</v>
      </c>
    </row>
    <row r="296" ht="15.0" customHeight="1">
      <c r="A296" s="4">
        <v>41932.0</v>
      </c>
      <c r="B296" s="2">
        <v>101723.92</v>
      </c>
      <c r="C296" s="2">
        <v>98870.81</v>
      </c>
      <c r="D296" s="2">
        <v>2773.0</v>
      </c>
      <c r="E296" s="5">
        <f t="shared" si="1"/>
        <v>36.68370718</v>
      </c>
      <c r="F296" s="7">
        <f t="shared" si="2"/>
        <v>0.02804758212</v>
      </c>
      <c r="G296" s="5">
        <f t="shared" si="3"/>
        <v>1.02888929</v>
      </c>
      <c r="H296" s="7">
        <f t="shared" si="4"/>
        <v>0.02804758212</v>
      </c>
      <c r="I296" s="2" t="str">
        <f t="shared" si="5"/>
        <v>2014-10</v>
      </c>
      <c r="J296" s="2">
        <f t="shared" si="6"/>
        <v>2014</v>
      </c>
      <c r="K296" s="2">
        <f t="shared" si="7"/>
        <v>2</v>
      </c>
      <c r="L296" s="2" t="str">
        <f t="shared" si="8"/>
        <v>Mon</v>
      </c>
    </row>
    <row r="297" ht="15.0" customHeight="1">
      <c r="A297" s="4">
        <v>41933.0</v>
      </c>
      <c r="B297" s="2">
        <v>103395.69</v>
      </c>
      <c r="C297" s="2">
        <v>100424.16</v>
      </c>
      <c r="D297" s="2">
        <v>2815.0</v>
      </c>
      <c r="E297" s="5">
        <f t="shared" si="1"/>
        <v>36.73026288</v>
      </c>
      <c r="F297" s="7">
        <f t="shared" si="2"/>
        <v>0.0287393991</v>
      </c>
      <c r="G297" s="5">
        <f t="shared" si="3"/>
        <v>1.055605684</v>
      </c>
      <c r="H297" s="7">
        <f t="shared" si="4"/>
        <v>0.0287393991</v>
      </c>
      <c r="I297" s="2" t="str">
        <f t="shared" si="5"/>
        <v>2014-10</v>
      </c>
      <c r="J297" s="2">
        <f t="shared" si="6"/>
        <v>2014</v>
      </c>
      <c r="K297" s="2">
        <f t="shared" si="7"/>
        <v>3</v>
      </c>
      <c r="L297" s="2" t="str">
        <f t="shared" si="8"/>
        <v>Tue</v>
      </c>
    </row>
    <row r="298" ht="15.0" customHeight="1">
      <c r="A298" s="4">
        <v>41934.0</v>
      </c>
      <c r="B298" s="2">
        <v>99075.6</v>
      </c>
      <c r="C298" s="2">
        <v>96511.72</v>
      </c>
      <c r="D298" s="2">
        <v>2701.0</v>
      </c>
      <c r="E298" s="5">
        <f t="shared" si="1"/>
        <v>36.68108108</v>
      </c>
      <c r="F298" s="7">
        <f t="shared" si="2"/>
        <v>0.02587801638</v>
      </c>
      <c r="G298" s="5">
        <f t="shared" si="3"/>
        <v>0.9492336172</v>
      </c>
      <c r="H298" s="7">
        <f t="shared" si="4"/>
        <v>0.02587801638</v>
      </c>
      <c r="I298" s="2" t="str">
        <f t="shared" si="5"/>
        <v>2014-10</v>
      </c>
      <c r="J298" s="2">
        <f t="shared" si="6"/>
        <v>2014</v>
      </c>
      <c r="K298" s="2">
        <f t="shared" si="7"/>
        <v>4</v>
      </c>
      <c r="L298" s="2" t="str">
        <f t="shared" si="8"/>
        <v>Wed</v>
      </c>
    </row>
    <row r="299" ht="15.0" customHeight="1">
      <c r="A299" s="4">
        <v>41935.0</v>
      </c>
      <c r="B299" s="2">
        <v>97476.14</v>
      </c>
      <c r="C299" s="2">
        <v>94763.84</v>
      </c>
      <c r="D299" s="2">
        <v>2651.0</v>
      </c>
      <c r="E299" s="5">
        <f t="shared" si="1"/>
        <v>36.76957375</v>
      </c>
      <c r="F299" s="7">
        <f t="shared" si="2"/>
        <v>0.02782527088</v>
      </c>
      <c r="G299" s="5">
        <f t="shared" si="3"/>
        <v>1.02312335</v>
      </c>
      <c r="H299" s="7">
        <f t="shared" si="4"/>
        <v>0.02782527088</v>
      </c>
      <c r="I299" s="2" t="str">
        <f t="shared" si="5"/>
        <v>2014-10</v>
      </c>
      <c r="J299" s="2">
        <f t="shared" si="6"/>
        <v>2014</v>
      </c>
      <c r="K299" s="2">
        <f t="shared" si="7"/>
        <v>5</v>
      </c>
      <c r="L299" s="2" t="str">
        <f t="shared" si="8"/>
        <v>Thu</v>
      </c>
    </row>
    <row r="300" ht="15.0" customHeight="1">
      <c r="A300" s="4">
        <v>41936.0</v>
      </c>
      <c r="B300" s="2">
        <v>248974.65</v>
      </c>
      <c r="C300" s="2">
        <v>241961.14</v>
      </c>
      <c r="D300" s="2">
        <v>6781.0</v>
      </c>
      <c r="E300" s="5">
        <f t="shared" si="1"/>
        <v>36.71650936</v>
      </c>
      <c r="F300" s="7">
        <f t="shared" si="2"/>
        <v>0.02816957469</v>
      </c>
      <c r="G300" s="5">
        <f t="shared" si="3"/>
        <v>1.034288453</v>
      </c>
      <c r="H300" s="7">
        <f t="shared" si="4"/>
        <v>0.02816957469</v>
      </c>
      <c r="I300" s="2" t="str">
        <f t="shared" si="5"/>
        <v>2014-10</v>
      </c>
      <c r="J300" s="2">
        <f t="shared" si="6"/>
        <v>2014</v>
      </c>
      <c r="K300" s="2">
        <f t="shared" si="7"/>
        <v>6</v>
      </c>
      <c r="L300" s="2" t="str">
        <f t="shared" si="8"/>
        <v>Fri</v>
      </c>
    </row>
    <row r="301" ht="15.0" customHeight="1">
      <c r="A301" s="4">
        <v>41937.0</v>
      </c>
      <c r="B301" s="2">
        <v>302721.68</v>
      </c>
      <c r="C301" s="2">
        <v>294129.67</v>
      </c>
      <c r="D301" s="2">
        <v>8249.0</v>
      </c>
      <c r="E301" s="5">
        <f t="shared" si="1"/>
        <v>36.69798521</v>
      </c>
      <c r="F301" s="7">
        <f t="shared" si="2"/>
        <v>0.02838253937</v>
      </c>
      <c r="G301" s="5">
        <f t="shared" si="3"/>
        <v>1.04158201</v>
      </c>
      <c r="H301" s="7">
        <f t="shared" si="4"/>
        <v>0.02838253937</v>
      </c>
      <c r="I301" s="2" t="str">
        <f t="shared" si="5"/>
        <v>2014-10</v>
      </c>
      <c r="J301" s="2">
        <f t="shared" si="6"/>
        <v>2014</v>
      </c>
      <c r="K301" s="2">
        <f t="shared" si="7"/>
        <v>7</v>
      </c>
      <c r="L301" s="2" t="str">
        <f t="shared" si="8"/>
        <v>Sat</v>
      </c>
    </row>
    <row r="302" ht="15.0" customHeight="1">
      <c r="A302" s="4">
        <v>41938.0</v>
      </c>
      <c r="B302" s="2">
        <v>128520.73</v>
      </c>
      <c r="C302" s="2">
        <v>124739.23</v>
      </c>
      <c r="D302" s="2">
        <v>3502.0</v>
      </c>
      <c r="E302" s="5">
        <f t="shared" si="1"/>
        <v>36.69923758</v>
      </c>
      <c r="F302" s="7">
        <f t="shared" si="2"/>
        <v>0.02942326892</v>
      </c>
      <c r="G302" s="5">
        <f t="shared" si="3"/>
        <v>1.079811536</v>
      </c>
      <c r="H302" s="7">
        <f t="shared" si="4"/>
        <v>0.02942326892</v>
      </c>
      <c r="I302" s="2" t="str">
        <f t="shared" si="5"/>
        <v>2014-10</v>
      </c>
      <c r="J302" s="2">
        <f t="shared" si="6"/>
        <v>2014</v>
      </c>
      <c r="K302" s="2">
        <f t="shared" si="7"/>
        <v>1</v>
      </c>
      <c r="L302" s="2" t="str">
        <f t="shared" si="8"/>
        <v>Sun</v>
      </c>
    </row>
    <row r="303" ht="15.0" customHeight="1">
      <c r="A303" s="4">
        <v>41939.0</v>
      </c>
      <c r="B303" s="2">
        <v>145185.27</v>
      </c>
      <c r="C303" s="2">
        <v>140651.94</v>
      </c>
      <c r="D303" s="2">
        <v>3949.0</v>
      </c>
      <c r="E303" s="5">
        <f t="shared" si="1"/>
        <v>36.76507217</v>
      </c>
      <c r="F303" s="7">
        <f t="shared" si="2"/>
        <v>0.0312244486</v>
      </c>
      <c r="G303" s="5">
        <f t="shared" si="3"/>
        <v>1.147969106</v>
      </c>
      <c r="H303" s="7">
        <f t="shared" si="4"/>
        <v>0.0312244486</v>
      </c>
      <c r="I303" s="2" t="str">
        <f t="shared" si="5"/>
        <v>2014-10</v>
      </c>
      <c r="J303" s="2">
        <f t="shared" si="6"/>
        <v>2014</v>
      </c>
      <c r="K303" s="2">
        <f t="shared" si="7"/>
        <v>2</v>
      </c>
      <c r="L303" s="2" t="str">
        <f t="shared" si="8"/>
        <v>Mon</v>
      </c>
    </row>
    <row r="304" ht="15.0" customHeight="1">
      <c r="A304" s="4">
        <v>41940.0</v>
      </c>
      <c r="B304" s="2">
        <v>89527.56</v>
      </c>
      <c r="C304" s="2">
        <v>87067.05</v>
      </c>
      <c r="D304" s="2">
        <v>2435.0</v>
      </c>
      <c r="E304" s="5">
        <f t="shared" si="1"/>
        <v>36.76696509</v>
      </c>
      <c r="F304" s="7">
        <f t="shared" si="2"/>
        <v>0.02748326884</v>
      </c>
      <c r="G304" s="5">
        <f t="shared" si="3"/>
        <v>1.010476386</v>
      </c>
      <c r="H304" s="7">
        <f t="shared" si="4"/>
        <v>0.02748326884</v>
      </c>
      <c r="I304" s="2" t="str">
        <f t="shared" si="5"/>
        <v>2014-10</v>
      </c>
      <c r="J304" s="2">
        <f t="shared" si="6"/>
        <v>2014</v>
      </c>
      <c r="K304" s="2">
        <f t="shared" si="7"/>
        <v>3</v>
      </c>
      <c r="L304" s="2" t="str">
        <f t="shared" si="8"/>
        <v>Tue</v>
      </c>
    </row>
    <row r="305" ht="15.0" customHeight="1">
      <c r="A305" s="4">
        <v>41941.0</v>
      </c>
      <c r="B305" s="2">
        <v>81991.88</v>
      </c>
      <c r="C305" s="2">
        <v>80112.55</v>
      </c>
      <c r="D305" s="2">
        <v>2232.0</v>
      </c>
      <c r="E305" s="5">
        <f t="shared" si="1"/>
        <v>36.73471326</v>
      </c>
      <c r="F305" s="7">
        <f t="shared" si="2"/>
        <v>0.02292092827</v>
      </c>
      <c r="G305" s="5">
        <f t="shared" si="3"/>
        <v>0.8419937276</v>
      </c>
      <c r="H305" s="7">
        <f t="shared" si="4"/>
        <v>0.02292092827</v>
      </c>
      <c r="I305" s="2" t="str">
        <f t="shared" si="5"/>
        <v>2014-10</v>
      </c>
      <c r="J305" s="2">
        <f t="shared" si="6"/>
        <v>2014</v>
      </c>
      <c r="K305" s="2">
        <f t="shared" si="7"/>
        <v>4</v>
      </c>
      <c r="L305" s="2" t="str">
        <f t="shared" si="8"/>
        <v>Wed</v>
      </c>
    </row>
    <row r="306" ht="15.0" customHeight="1">
      <c r="A306" s="4">
        <v>41942.0</v>
      </c>
      <c r="B306" s="2">
        <v>69704.49</v>
      </c>
      <c r="C306" s="2">
        <v>68293.1</v>
      </c>
      <c r="D306" s="2">
        <v>1898.0</v>
      </c>
      <c r="E306" s="5">
        <f t="shared" si="1"/>
        <v>36.72523182</v>
      </c>
      <c r="F306" s="7">
        <f t="shared" si="2"/>
        <v>0.02024819348</v>
      </c>
      <c r="G306" s="5">
        <f t="shared" si="3"/>
        <v>0.7436195996</v>
      </c>
      <c r="H306" s="7">
        <f t="shared" si="4"/>
        <v>0.02024819348</v>
      </c>
      <c r="I306" s="2" t="str">
        <f t="shared" si="5"/>
        <v>2014-10</v>
      </c>
      <c r="J306" s="2">
        <f t="shared" si="6"/>
        <v>2014</v>
      </c>
      <c r="K306" s="2">
        <f t="shared" si="7"/>
        <v>5</v>
      </c>
      <c r="L306" s="2" t="str">
        <f t="shared" si="8"/>
        <v>Thu</v>
      </c>
    </row>
    <row r="307" ht="15.0" customHeight="1">
      <c r="A307" s="4">
        <v>41943.0</v>
      </c>
      <c r="B307" s="2">
        <v>166652.39</v>
      </c>
      <c r="C307" s="2">
        <v>163319.72</v>
      </c>
      <c r="D307" s="2">
        <v>4537.0</v>
      </c>
      <c r="E307" s="5">
        <f t="shared" si="1"/>
        <v>36.73184704</v>
      </c>
      <c r="F307" s="7">
        <f t="shared" si="2"/>
        <v>0.01999773301</v>
      </c>
      <c r="G307" s="5">
        <f t="shared" si="3"/>
        <v>0.7345536698</v>
      </c>
      <c r="H307" s="7">
        <f t="shared" si="4"/>
        <v>0.01999773301</v>
      </c>
      <c r="I307" s="2" t="str">
        <f t="shared" si="5"/>
        <v>2014-10</v>
      </c>
      <c r="J307" s="2">
        <f t="shared" si="6"/>
        <v>2014</v>
      </c>
      <c r="K307" s="2">
        <f t="shared" si="7"/>
        <v>6</v>
      </c>
      <c r="L307" s="2" t="str">
        <f t="shared" si="8"/>
        <v>Fri</v>
      </c>
    </row>
    <row r="308" ht="15.0" customHeight="1">
      <c r="A308" s="4">
        <v>41944.0</v>
      </c>
      <c r="B308" s="2">
        <v>247453.1</v>
      </c>
      <c r="C308" s="2">
        <v>242638.8</v>
      </c>
      <c r="D308" s="2">
        <v>6730.0</v>
      </c>
      <c r="E308" s="5">
        <f t="shared" si="1"/>
        <v>36.7686627</v>
      </c>
      <c r="F308" s="7">
        <f t="shared" si="2"/>
        <v>0.01945540387</v>
      </c>
      <c r="G308" s="5">
        <f t="shared" si="3"/>
        <v>0.7153491828</v>
      </c>
      <c r="H308" s="7">
        <f t="shared" si="4"/>
        <v>0.01945540387</v>
      </c>
      <c r="I308" s="2" t="str">
        <f t="shared" si="5"/>
        <v>2014-11</v>
      </c>
      <c r="J308" s="2">
        <f t="shared" si="6"/>
        <v>2014</v>
      </c>
      <c r="K308" s="2">
        <f t="shared" si="7"/>
        <v>7</v>
      </c>
      <c r="L308" s="2" t="str">
        <f t="shared" si="8"/>
        <v>Sat</v>
      </c>
    </row>
    <row r="309" ht="15.0" customHeight="1">
      <c r="A309" s="4">
        <v>41945.0</v>
      </c>
      <c r="B309" s="2">
        <v>148476.18</v>
      </c>
      <c r="C309" s="2">
        <v>145646.34</v>
      </c>
      <c r="D309" s="2">
        <v>4038.0</v>
      </c>
      <c r="E309" s="5">
        <f t="shared" si="1"/>
        <v>36.76973254</v>
      </c>
      <c r="F309" s="7">
        <f t="shared" si="2"/>
        <v>0.01905921879</v>
      </c>
      <c r="G309" s="5">
        <f t="shared" si="3"/>
        <v>0.7008023774</v>
      </c>
      <c r="H309" s="7">
        <f t="shared" si="4"/>
        <v>0.01905921879</v>
      </c>
      <c r="I309" s="2" t="str">
        <f t="shared" si="5"/>
        <v>2014-11</v>
      </c>
      <c r="J309" s="2">
        <f t="shared" si="6"/>
        <v>2014</v>
      </c>
      <c r="K309" s="2">
        <f t="shared" si="7"/>
        <v>1</v>
      </c>
      <c r="L309" s="2" t="str">
        <f t="shared" si="8"/>
        <v>Sun</v>
      </c>
    </row>
    <row r="310" ht="15.0" customHeight="1">
      <c r="A310" s="4">
        <v>41946.0</v>
      </c>
      <c r="B310" s="2">
        <v>205368.92</v>
      </c>
      <c r="C310" s="2">
        <v>201281.24</v>
      </c>
      <c r="D310" s="2">
        <v>5581.0</v>
      </c>
      <c r="E310" s="5">
        <f t="shared" si="1"/>
        <v>36.79787135</v>
      </c>
      <c r="F310" s="7">
        <f t="shared" si="2"/>
        <v>0.01990408286</v>
      </c>
      <c r="G310" s="5">
        <f t="shared" si="3"/>
        <v>0.7324278803</v>
      </c>
      <c r="H310" s="7">
        <f t="shared" si="4"/>
        <v>0.01990408286</v>
      </c>
      <c r="I310" s="2" t="str">
        <f t="shared" si="5"/>
        <v>2014-11</v>
      </c>
      <c r="J310" s="2">
        <f t="shared" si="6"/>
        <v>2014</v>
      </c>
      <c r="K310" s="2">
        <f t="shared" si="7"/>
        <v>2</v>
      </c>
      <c r="L310" s="2" t="str">
        <f t="shared" si="8"/>
        <v>Mon</v>
      </c>
    </row>
    <row r="311" ht="15.0" customHeight="1">
      <c r="A311" s="4">
        <v>41947.0</v>
      </c>
      <c r="B311" s="2">
        <v>99244.68</v>
      </c>
      <c r="C311" s="2">
        <v>90949.44</v>
      </c>
      <c r="D311" s="2">
        <v>2519.0</v>
      </c>
      <c r="E311" s="5">
        <f t="shared" si="1"/>
        <v>39.39844383</v>
      </c>
      <c r="F311" s="7">
        <f t="shared" si="2"/>
        <v>0.08358372459</v>
      </c>
      <c r="G311" s="5">
        <f t="shared" si="3"/>
        <v>3.293068678</v>
      </c>
      <c r="H311" s="7">
        <f t="shared" si="4"/>
        <v>0.08358372459</v>
      </c>
      <c r="I311" s="2" t="str">
        <f t="shared" si="5"/>
        <v>2014-11</v>
      </c>
      <c r="J311" s="2">
        <f t="shared" si="6"/>
        <v>2014</v>
      </c>
      <c r="K311" s="2">
        <f t="shared" si="7"/>
        <v>3</v>
      </c>
      <c r="L311" s="2" t="str">
        <f t="shared" si="8"/>
        <v>Tue</v>
      </c>
    </row>
    <row r="312" ht="15.0" customHeight="1">
      <c r="A312" s="4">
        <v>41948.0</v>
      </c>
      <c r="B312" s="2">
        <v>72756.86</v>
      </c>
      <c r="C312" s="2">
        <v>67872.77</v>
      </c>
      <c r="D312" s="2">
        <v>1847.0</v>
      </c>
      <c r="E312" s="5">
        <f t="shared" si="1"/>
        <v>39.39191121</v>
      </c>
      <c r="F312" s="7">
        <f t="shared" si="2"/>
        <v>0.06712892777</v>
      </c>
      <c r="G312" s="5">
        <f t="shared" si="3"/>
        <v>2.644336762</v>
      </c>
      <c r="H312" s="7">
        <f t="shared" si="4"/>
        <v>0.06712892777</v>
      </c>
      <c r="I312" s="2" t="str">
        <f t="shared" si="5"/>
        <v>2014-11</v>
      </c>
      <c r="J312" s="2">
        <f t="shared" si="6"/>
        <v>2014</v>
      </c>
      <c r="K312" s="2">
        <f t="shared" si="7"/>
        <v>4</v>
      </c>
      <c r="L312" s="2" t="str">
        <f t="shared" si="8"/>
        <v>Wed</v>
      </c>
    </row>
    <row r="313" ht="15.0" customHeight="1">
      <c r="A313" s="4">
        <v>41949.0</v>
      </c>
      <c r="B313" s="2">
        <v>86867.46</v>
      </c>
      <c r="C313" s="2">
        <v>84486.09</v>
      </c>
      <c r="D313" s="2">
        <v>2309.0</v>
      </c>
      <c r="E313" s="5">
        <f t="shared" si="1"/>
        <v>37.62124729</v>
      </c>
      <c r="F313" s="7">
        <f t="shared" si="2"/>
        <v>0.02741383252</v>
      </c>
      <c r="G313" s="5">
        <f t="shared" si="3"/>
        <v>1.031342573</v>
      </c>
      <c r="H313" s="7">
        <f t="shared" si="4"/>
        <v>0.02741383252</v>
      </c>
      <c r="I313" s="2" t="str">
        <f t="shared" si="5"/>
        <v>2014-11</v>
      </c>
      <c r="J313" s="2">
        <f t="shared" si="6"/>
        <v>2014</v>
      </c>
      <c r="K313" s="2">
        <f t="shared" si="7"/>
        <v>5</v>
      </c>
      <c r="L313" s="2" t="str">
        <f t="shared" si="8"/>
        <v>Thu</v>
      </c>
    </row>
    <row r="314" ht="15.0" customHeight="1">
      <c r="A314" s="4">
        <v>41950.0</v>
      </c>
      <c r="B314" s="2">
        <v>140167.8</v>
      </c>
      <c r="C314" s="2">
        <v>136539.2</v>
      </c>
      <c r="D314" s="2">
        <v>3722.0</v>
      </c>
      <c r="E314" s="5">
        <f t="shared" si="1"/>
        <v>37.65926921</v>
      </c>
      <c r="F314" s="7">
        <f t="shared" si="2"/>
        <v>0.02588754336</v>
      </c>
      <c r="G314" s="5">
        <f t="shared" si="3"/>
        <v>0.9749059645</v>
      </c>
      <c r="H314" s="7">
        <f t="shared" si="4"/>
        <v>0.02588754336</v>
      </c>
      <c r="I314" s="2" t="str">
        <f t="shared" si="5"/>
        <v>2014-11</v>
      </c>
      <c r="J314" s="2">
        <f t="shared" si="6"/>
        <v>2014</v>
      </c>
      <c r="K314" s="2">
        <f t="shared" si="7"/>
        <v>6</v>
      </c>
      <c r="L314" s="2" t="str">
        <f t="shared" si="8"/>
        <v>Fri</v>
      </c>
    </row>
    <row r="315" ht="15.0" customHeight="1">
      <c r="A315" s="4">
        <v>41951.0</v>
      </c>
      <c r="B315" s="2">
        <v>160727.3</v>
      </c>
      <c r="C315" s="2">
        <v>156700.82</v>
      </c>
      <c r="D315" s="2">
        <v>4268.0</v>
      </c>
      <c r="E315" s="5">
        <f t="shared" si="1"/>
        <v>37.6586926</v>
      </c>
      <c r="F315" s="7">
        <f t="shared" si="2"/>
        <v>0.02505162471</v>
      </c>
      <c r="G315" s="5">
        <f t="shared" si="3"/>
        <v>0.9434114339</v>
      </c>
      <c r="H315" s="7">
        <f t="shared" si="4"/>
        <v>0.02505162471</v>
      </c>
      <c r="I315" s="2" t="str">
        <f t="shared" si="5"/>
        <v>2014-11</v>
      </c>
      <c r="J315" s="2">
        <f t="shared" si="6"/>
        <v>2014</v>
      </c>
      <c r="K315" s="2">
        <f t="shared" si="7"/>
        <v>7</v>
      </c>
      <c r="L315" s="2" t="str">
        <f t="shared" si="8"/>
        <v>Sat</v>
      </c>
    </row>
    <row r="316" ht="15.0" customHeight="1">
      <c r="A316" s="4">
        <v>41952.0</v>
      </c>
      <c r="B316" s="2">
        <v>74115.63</v>
      </c>
      <c r="C316" s="2">
        <v>71994.35</v>
      </c>
      <c r="D316" s="2">
        <v>1968.0</v>
      </c>
      <c r="E316" s="5">
        <f t="shared" si="1"/>
        <v>37.6603811</v>
      </c>
      <c r="F316" s="7">
        <f t="shared" si="2"/>
        <v>0.02862122335</v>
      </c>
      <c r="G316" s="5">
        <f t="shared" si="3"/>
        <v>1.077886179</v>
      </c>
      <c r="H316" s="7">
        <f t="shared" si="4"/>
        <v>0.02862122335</v>
      </c>
      <c r="I316" s="2" t="str">
        <f t="shared" si="5"/>
        <v>2014-11</v>
      </c>
      <c r="J316" s="2">
        <f t="shared" si="6"/>
        <v>2014</v>
      </c>
      <c r="K316" s="2">
        <f t="shared" si="7"/>
        <v>1</v>
      </c>
      <c r="L316" s="2" t="str">
        <f t="shared" si="8"/>
        <v>Sun</v>
      </c>
    </row>
    <row r="317" ht="15.0" customHeight="1">
      <c r="A317" s="4">
        <v>41953.0</v>
      </c>
      <c r="B317" s="2">
        <v>76103.29</v>
      </c>
      <c r="C317" s="2">
        <v>73967.61</v>
      </c>
      <c r="D317" s="2">
        <v>2016.0</v>
      </c>
      <c r="E317" s="5">
        <f t="shared" si="1"/>
        <v>37.74964782</v>
      </c>
      <c r="F317" s="7">
        <f t="shared" si="2"/>
        <v>0.02806291292</v>
      </c>
      <c r="G317" s="5">
        <f t="shared" si="3"/>
        <v>1.059365079</v>
      </c>
      <c r="H317" s="7">
        <f t="shared" si="4"/>
        <v>0.02806291292</v>
      </c>
      <c r="I317" s="2" t="str">
        <f t="shared" si="5"/>
        <v>2014-11</v>
      </c>
      <c r="J317" s="2">
        <f t="shared" si="6"/>
        <v>2014</v>
      </c>
      <c r="K317" s="2">
        <f t="shared" si="7"/>
        <v>2</v>
      </c>
      <c r="L317" s="2" t="str">
        <f t="shared" si="8"/>
        <v>Mon</v>
      </c>
    </row>
    <row r="318" ht="15.0" customHeight="1">
      <c r="A318" s="4">
        <v>41954.0</v>
      </c>
      <c r="B318" s="2">
        <v>56303.37</v>
      </c>
      <c r="C318" s="2">
        <v>54996.87</v>
      </c>
      <c r="D318" s="2">
        <v>1497.0</v>
      </c>
      <c r="E318" s="5">
        <f t="shared" si="1"/>
        <v>37.6108016</v>
      </c>
      <c r="F318" s="7">
        <f t="shared" si="2"/>
        <v>0.02320465009</v>
      </c>
      <c r="G318" s="5">
        <f t="shared" si="3"/>
        <v>0.872745491</v>
      </c>
      <c r="H318" s="7">
        <f t="shared" si="4"/>
        <v>0.02320465009</v>
      </c>
      <c r="I318" s="2" t="str">
        <f t="shared" si="5"/>
        <v>2014-11</v>
      </c>
      <c r="J318" s="2">
        <f t="shared" si="6"/>
        <v>2014</v>
      </c>
      <c r="K318" s="2">
        <f t="shared" si="7"/>
        <v>3</v>
      </c>
      <c r="L318" s="2" t="str">
        <f t="shared" si="8"/>
        <v>Tue</v>
      </c>
    </row>
    <row r="319" ht="15.0" customHeight="1">
      <c r="A319" s="4">
        <v>41955.0</v>
      </c>
      <c r="B319" s="2">
        <v>49436.82</v>
      </c>
      <c r="C319" s="2">
        <v>48289.89</v>
      </c>
      <c r="D319" s="2">
        <v>1314.0</v>
      </c>
      <c r="E319" s="5">
        <f t="shared" si="1"/>
        <v>37.62315068</v>
      </c>
      <c r="F319" s="7">
        <f t="shared" si="2"/>
        <v>0.02319991456</v>
      </c>
      <c r="G319" s="5">
        <f t="shared" si="3"/>
        <v>0.8728538813</v>
      </c>
      <c r="H319" s="7">
        <f t="shared" si="4"/>
        <v>0.02319991456</v>
      </c>
      <c r="I319" s="2" t="str">
        <f t="shared" si="5"/>
        <v>2014-11</v>
      </c>
      <c r="J319" s="2">
        <f t="shared" si="6"/>
        <v>2014</v>
      </c>
      <c r="K319" s="2">
        <f t="shared" si="7"/>
        <v>4</v>
      </c>
      <c r="L319" s="2" t="str">
        <f t="shared" si="8"/>
        <v>Wed</v>
      </c>
    </row>
    <row r="320" ht="15.0" customHeight="1">
      <c r="A320" s="4">
        <v>41956.0</v>
      </c>
      <c r="B320" s="2">
        <v>55033.12</v>
      </c>
      <c r="C320" s="2">
        <v>53997.22</v>
      </c>
      <c r="D320" s="2">
        <v>1466.0</v>
      </c>
      <c r="E320" s="5">
        <f t="shared" si="1"/>
        <v>37.53964529</v>
      </c>
      <c r="F320" s="7">
        <f t="shared" si="2"/>
        <v>0.01882321046</v>
      </c>
      <c r="G320" s="5">
        <f t="shared" si="3"/>
        <v>0.7066166439</v>
      </c>
      <c r="H320" s="7">
        <f t="shared" si="4"/>
        <v>0.01882321046</v>
      </c>
      <c r="I320" s="2" t="str">
        <f t="shared" si="5"/>
        <v>2014-11</v>
      </c>
      <c r="J320" s="2">
        <f t="shared" si="6"/>
        <v>2014</v>
      </c>
      <c r="K320" s="2">
        <f t="shared" si="7"/>
        <v>5</v>
      </c>
      <c r="L320" s="2" t="str">
        <f t="shared" si="8"/>
        <v>Thu</v>
      </c>
    </row>
    <row r="321" ht="15.0" customHeight="1">
      <c r="A321" s="4">
        <v>41957.0</v>
      </c>
      <c r="B321" s="2">
        <v>149808.17</v>
      </c>
      <c r="C321" s="2">
        <v>146994.9</v>
      </c>
      <c r="D321" s="2">
        <v>3984.0</v>
      </c>
      <c r="E321" s="5">
        <f t="shared" si="1"/>
        <v>37.60245231</v>
      </c>
      <c r="F321" s="7">
        <f t="shared" si="2"/>
        <v>0.01877914936</v>
      </c>
      <c r="G321" s="5">
        <f t="shared" si="3"/>
        <v>0.7061420683</v>
      </c>
      <c r="H321" s="7">
        <f t="shared" si="4"/>
        <v>0.01877914936</v>
      </c>
      <c r="I321" s="2" t="str">
        <f t="shared" si="5"/>
        <v>2014-11</v>
      </c>
      <c r="J321" s="2">
        <f t="shared" si="6"/>
        <v>2014</v>
      </c>
      <c r="K321" s="2">
        <f t="shared" si="7"/>
        <v>6</v>
      </c>
      <c r="L321" s="2" t="str">
        <f t="shared" si="8"/>
        <v>Fri</v>
      </c>
    </row>
    <row r="322" ht="15.0" customHeight="1">
      <c r="A322" s="4">
        <v>41958.0</v>
      </c>
      <c r="B322" s="2">
        <v>180685.51</v>
      </c>
      <c r="C322" s="2">
        <v>176898.28</v>
      </c>
      <c r="D322" s="2">
        <v>4802.0</v>
      </c>
      <c r="E322" s="5">
        <f t="shared" si="1"/>
        <v>37.62713661</v>
      </c>
      <c r="F322" s="7">
        <f t="shared" si="2"/>
        <v>0.02096034153</v>
      </c>
      <c r="G322" s="5">
        <f t="shared" si="3"/>
        <v>0.7886776343</v>
      </c>
      <c r="H322" s="7">
        <f t="shared" si="4"/>
        <v>0.02096034153</v>
      </c>
      <c r="I322" s="2" t="str">
        <f t="shared" si="5"/>
        <v>2014-11</v>
      </c>
      <c r="J322" s="2">
        <f t="shared" si="6"/>
        <v>2014</v>
      </c>
      <c r="K322" s="2">
        <f t="shared" si="7"/>
        <v>7</v>
      </c>
      <c r="L322" s="2" t="str">
        <f t="shared" si="8"/>
        <v>Sat</v>
      </c>
    </row>
    <row r="323" ht="15.0" customHeight="1">
      <c r="A323" s="4">
        <v>41959.0</v>
      </c>
      <c r="B323" s="2">
        <v>75871.44</v>
      </c>
      <c r="C323" s="2">
        <v>73905.81</v>
      </c>
      <c r="D323" s="2">
        <v>2017.0</v>
      </c>
      <c r="E323" s="5">
        <f t="shared" si="1"/>
        <v>37.61598413</v>
      </c>
      <c r="F323" s="7">
        <f t="shared" si="2"/>
        <v>0.02590737701</v>
      </c>
      <c r="G323" s="5">
        <f t="shared" si="3"/>
        <v>0.9745314824</v>
      </c>
      <c r="H323" s="7">
        <f t="shared" si="4"/>
        <v>0.02590737701</v>
      </c>
      <c r="I323" s="2" t="str">
        <f t="shared" si="5"/>
        <v>2014-11</v>
      </c>
      <c r="J323" s="2">
        <f t="shared" si="6"/>
        <v>2014</v>
      </c>
      <c r="K323" s="2">
        <f t="shared" si="7"/>
        <v>1</v>
      </c>
      <c r="L323" s="2" t="str">
        <f t="shared" si="8"/>
        <v>Sun</v>
      </c>
    </row>
    <row r="324" ht="15.0" customHeight="1">
      <c r="A324" s="4">
        <v>41960.0</v>
      </c>
      <c r="B324" s="2">
        <v>86313.33</v>
      </c>
      <c r="C324" s="2">
        <v>84418.79</v>
      </c>
      <c r="D324" s="2">
        <v>2297.0</v>
      </c>
      <c r="E324" s="5">
        <f t="shared" si="1"/>
        <v>37.57654767</v>
      </c>
      <c r="F324" s="7">
        <f t="shared" si="2"/>
        <v>0.02194956445</v>
      </c>
      <c r="G324" s="5">
        <f t="shared" si="3"/>
        <v>0.824788855</v>
      </c>
      <c r="H324" s="7">
        <f t="shared" si="4"/>
        <v>0.02194956445</v>
      </c>
      <c r="I324" s="2" t="str">
        <f t="shared" si="5"/>
        <v>2014-11</v>
      </c>
      <c r="J324" s="2">
        <f t="shared" si="6"/>
        <v>2014</v>
      </c>
      <c r="K324" s="2">
        <f t="shared" si="7"/>
        <v>2</v>
      </c>
      <c r="L324" s="2" t="str">
        <f t="shared" si="8"/>
        <v>Mon</v>
      </c>
    </row>
    <row r="325" ht="15.0" customHeight="1">
      <c r="A325" s="4">
        <v>41961.0</v>
      </c>
      <c r="B325" s="2">
        <v>62631.8</v>
      </c>
      <c r="C325" s="2">
        <v>61158.36</v>
      </c>
      <c r="D325" s="2">
        <v>1665.0</v>
      </c>
      <c r="E325" s="5">
        <f t="shared" si="1"/>
        <v>37.6166967</v>
      </c>
      <c r="F325" s="7">
        <f t="shared" si="2"/>
        <v>0.02352542957</v>
      </c>
      <c r="G325" s="5">
        <f t="shared" si="3"/>
        <v>0.8849489489</v>
      </c>
      <c r="H325" s="7">
        <f t="shared" si="4"/>
        <v>0.02352542957</v>
      </c>
      <c r="I325" s="2" t="str">
        <f t="shared" si="5"/>
        <v>2014-11</v>
      </c>
      <c r="J325" s="2">
        <f t="shared" si="6"/>
        <v>2014</v>
      </c>
      <c r="K325" s="2">
        <f t="shared" si="7"/>
        <v>3</v>
      </c>
      <c r="L325" s="2" t="str">
        <f t="shared" si="8"/>
        <v>Tue</v>
      </c>
    </row>
    <row r="326" ht="15.0" customHeight="1">
      <c r="A326" s="4">
        <v>41962.0</v>
      </c>
      <c r="B326" s="2">
        <v>48529.1</v>
      </c>
      <c r="C326" s="2">
        <v>47409.55</v>
      </c>
      <c r="D326" s="2">
        <v>1291.0</v>
      </c>
      <c r="E326" s="5">
        <f t="shared" si="1"/>
        <v>37.59031758</v>
      </c>
      <c r="F326" s="7">
        <f t="shared" si="2"/>
        <v>0.02306966336</v>
      </c>
      <c r="G326" s="5">
        <f t="shared" si="3"/>
        <v>0.8671959721</v>
      </c>
      <c r="H326" s="7">
        <f t="shared" si="4"/>
        <v>0.02306966336</v>
      </c>
      <c r="I326" s="2" t="str">
        <f t="shared" si="5"/>
        <v>2014-11</v>
      </c>
      <c r="J326" s="2">
        <f t="shared" si="6"/>
        <v>2014</v>
      </c>
      <c r="K326" s="2">
        <f t="shared" si="7"/>
        <v>4</v>
      </c>
      <c r="L326" s="2" t="str">
        <f t="shared" si="8"/>
        <v>Wed</v>
      </c>
    </row>
    <row r="327" ht="15.0" customHeight="1">
      <c r="A327" s="4">
        <v>41963.0</v>
      </c>
      <c r="B327" s="2">
        <v>51040.88</v>
      </c>
      <c r="C327" s="2">
        <v>50038.14</v>
      </c>
      <c r="D327" s="2">
        <v>1361.0</v>
      </c>
      <c r="E327" s="5">
        <f t="shared" si="1"/>
        <v>37.50248347</v>
      </c>
      <c r="F327" s="7">
        <f t="shared" si="2"/>
        <v>0.01964582115</v>
      </c>
      <c r="G327" s="5">
        <f t="shared" si="3"/>
        <v>0.736767083</v>
      </c>
      <c r="H327" s="7">
        <f t="shared" si="4"/>
        <v>0.01964582115</v>
      </c>
      <c r="I327" s="2" t="str">
        <f t="shared" si="5"/>
        <v>2014-11</v>
      </c>
      <c r="J327" s="2">
        <f t="shared" si="6"/>
        <v>2014</v>
      </c>
      <c r="K327" s="2">
        <f t="shared" si="7"/>
        <v>5</v>
      </c>
      <c r="L327" s="2" t="str">
        <f t="shared" si="8"/>
        <v>Thu</v>
      </c>
    </row>
    <row r="328" ht="15.0" customHeight="1">
      <c r="A328" s="4">
        <v>41964.0</v>
      </c>
      <c r="B328" s="2">
        <v>53973.92</v>
      </c>
      <c r="C328" s="2">
        <v>47192.5</v>
      </c>
      <c r="D328" s="2">
        <v>1281.0</v>
      </c>
      <c r="E328" s="5">
        <f t="shared" si="1"/>
        <v>42.13420765</v>
      </c>
      <c r="F328" s="7">
        <f t="shared" si="2"/>
        <v>0.1256425325</v>
      </c>
      <c r="G328" s="5">
        <f t="shared" si="3"/>
        <v>5.293848556</v>
      </c>
      <c r="H328" s="7">
        <f t="shared" si="4"/>
        <v>0.1256425325</v>
      </c>
      <c r="I328" s="2" t="str">
        <f t="shared" si="5"/>
        <v>2014-11</v>
      </c>
      <c r="J328" s="2">
        <f t="shared" si="6"/>
        <v>2014</v>
      </c>
      <c r="K328" s="2">
        <f t="shared" si="7"/>
        <v>6</v>
      </c>
      <c r="L328" s="2" t="str">
        <f t="shared" si="8"/>
        <v>Fri</v>
      </c>
    </row>
    <row r="329" ht="15.0" customHeight="1">
      <c r="A329" s="4">
        <v>41965.0</v>
      </c>
      <c r="B329" s="2">
        <v>47497.98</v>
      </c>
      <c r="C329" s="2">
        <v>41179.09</v>
      </c>
      <c r="D329" s="2">
        <v>1122.0</v>
      </c>
      <c r="E329" s="5">
        <f t="shared" si="1"/>
        <v>42.33331551</v>
      </c>
      <c r="F329" s="7">
        <f t="shared" si="2"/>
        <v>0.1330349206</v>
      </c>
      <c r="G329" s="5">
        <f t="shared" si="3"/>
        <v>5.631809269</v>
      </c>
      <c r="H329" s="7">
        <f t="shared" si="4"/>
        <v>0.1330349206</v>
      </c>
      <c r="I329" s="2" t="str">
        <f t="shared" si="5"/>
        <v>2014-11</v>
      </c>
      <c r="J329" s="2">
        <f t="shared" si="6"/>
        <v>2014</v>
      </c>
      <c r="K329" s="2">
        <f t="shared" si="7"/>
        <v>7</v>
      </c>
      <c r="L329" s="2" t="str">
        <f t="shared" si="8"/>
        <v>Sat</v>
      </c>
    </row>
    <row r="330" ht="15.0" customHeight="1">
      <c r="A330" s="4">
        <v>41966.0</v>
      </c>
      <c r="B330" s="2">
        <v>31219.95</v>
      </c>
      <c r="C330" s="2">
        <v>26893.3</v>
      </c>
      <c r="D330" s="2">
        <v>737.0</v>
      </c>
      <c r="E330" s="5">
        <f t="shared" si="1"/>
        <v>42.36085482</v>
      </c>
      <c r="F330" s="7">
        <f t="shared" si="2"/>
        <v>0.1385860644</v>
      </c>
      <c r="G330" s="5">
        <f t="shared" si="3"/>
        <v>5.870624152</v>
      </c>
      <c r="H330" s="7">
        <f t="shared" si="4"/>
        <v>0.1385860644</v>
      </c>
      <c r="I330" s="2" t="str">
        <f t="shared" si="5"/>
        <v>2014-11</v>
      </c>
      <c r="J330" s="2">
        <f t="shared" si="6"/>
        <v>2014</v>
      </c>
      <c r="K330" s="2">
        <f t="shared" si="7"/>
        <v>1</v>
      </c>
      <c r="L330" s="2" t="str">
        <f t="shared" si="8"/>
        <v>Sun</v>
      </c>
    </row>
    <row r="331" ht="15.0" customHeight="1">
      <c r="A331" s="4">
        <v>41967.0</v>
      </c>
      <c r="B331" s="2">
        <v>26870.32</v>
      </c>
      <c r="C331" s="2">
        <v>23516.04</v>
      </c>
      <c r="D331" s="2">
        <v>641.0</v>
      </c>
      <c r="E331" s="5">
        <f t="shared" si="1"/>
        <v>41.91937598</v>
      </c>
      <c r="F331" s="7">
        <f t="shared" si="2"/>
        <v>0.1248321568</v>
      </c>
      <c r="G331" s="5">
        <f t="shared" si="3"/>
        <v>5.232886115</v>
      </c>
      <c r="H331" s="7">
        <f t="shared" si="4"/>
        <v>0.1248321568</v>
      </c>
      <c r="I331" s="2" t="str">
        <f t="shared" si="5"/>
        <v>2014-11</v>
      </c>
      <c r="J331" s="2">
        <f t="shared" si="6"/>
        <v>2014</v>
      </c>
      <c r="K331" s="2">
        <f t="shared" si="7"/>
        <v>2</v>
      </c>
      <c r="L331" s="2" t="str">
        <f t="shared" si="8"/>
        <v>Mon</v>
      </c>
    </row>
    <row r="332" ht="15.0" customHeight="1">
      <c r="A332" s="4">
        <v>41968.0</v>
      </c>
      <c r="B332" s="2">
        <v>40530.64</v>
      </c>
      <c r="C332" s="2">
        <v>35674.19</v>
      </c>
      <c r="D332" s="2">
        <v>968.0</v>
      </c>
      <c r="E332" s="5">
        <f t="shared" si="1"/>
        <v>41.87049587</v>
      </c>
      <c r="F332" s="7">
        <f t="shared" si="2"/>
        <v>0.1198216954</v>
      </c>
      <c r="G332" s="5">
        <f t="shared" si="3"/>
        <v>5.016993802</v>
      </c>
      <c r="H332" s="7">
        <f t="shared" si="4"/>
        <v>0.1198216954</v>
      </c>
      <c r="I332" s="2" t="str">
        <f t="shared" si="5"/>
        <v>2014-11</v>
      </c>
      <c r="J332" s="2">
        <f t="shared" si="6"/>
        <v>2014</v>
      </c>
      <c r="K332" s="2">
        <f t="shared" si="7"/>
        <v>3</v>
      </c>
      <c r="L332" s="2" t="str">
        <f t="shared" si="8"/>
        <v>Tue</v>
      </c>
    </row>
    <row r="333" ht="15.0" customHeight="1">
      <c r="A333" s="4">
        <v>41969.0</v>
      </c>
      <c r="B333" s="2">
        <v>30371.43</v>
      </c>
      <c r="C333" s="2">
        <v>26054.85</v>
      </c>
      <c r="D333" s="2">
        <v>709.0</v>
      </c>
      <c r="E333" s="5">
        <f t="shared" si="1"/>
        <v>42.83699577</v>
      </c>
      <c r="F333" s="7">
        <f t="shared" si="2"/>
        <v>0.1421263339</v>
      </c>
      <c r="G333" s="5">
        <f t="shared" si="3"/>
        <v>6.088265162</v>
      </c>
      <c r="H333" s="7">
        <f t="shared" si="4"/>
        <v>0.1421263339</v>
      </c>
      <c r="I333" s="2" t="str">
        <f t="shared" si="5"/>
        <v>2014-11</v>
      </c>
      <c r="J333" s="2">
        <f t="shared" si="6"/>
        <v>2014</v>
      </c>
      <c r="K333" s="2">
        <f t="shared" si="7"/>
        <v>4</v>
      </c>
      <c r="L333" s="2" t="str">
        <f t="shared" si="8"/>
        <v>Wed</v>
      </c>
    </row>
    <row r="334" ht="15.0" customHeight="1">
      <c r="A334" s="4">
        <v>41970.0</v>
      </c>
      <c r="B334" s="2">
        <v>37776.66</v>
      </c>
      <c r="C334" s="2">
        <v>32719.69</v>
      </c>
      <c r="D334" s="2">
        <v>880.0</v>
      </c>
      <c r="E334" s="5">
        <f t="shared" si="1"/>
        <v>42.92802273</v>
      </c>
      <c r="F334" s="7">
        <f t="shared" si="2"/>
        <v>0.1338649314</v>
      </c>
      <c r="G334" s="5">
        <f t="shared" si="3"/>
        <v>5.746556818</v>
      </c>
      <c r="H334" s="7">
        <f t="shared" si="4"/>
        <v>0.1338649314</v>
      </c>
      <c r="I334" s="2" t="str">
        <f t="shared" si="5"/>
        <v>2014-11</v>
      </c>
      <c r="J334" s="2">
        <f t="shared" si="6"/>
        <v>2014</v>
      </c>
      <c r="K334" s="2">
        <f t="shared" si="7"/>
        <v>5</v>
      </c>
      <c r="L334" s="2" t="str">
        <f t="shared" si="8"/>
        <v>Thu</v>
      </c>
    </row>
    <row r="335" ht="15.0" customHeight="1">
      <c r="A335" s="4">
        <v>41971.0</v>
      </c>
      <c r="B335" s="2">
        <v>46818.21</v>
      </c>
      <c r="C335" s="2">
        <v>40652.58</v>
      </c>
      <c r="D335" s="2">
        <v>1096.0</v>
      </c>
      <c r="E335" s="5">
        <f t="shared" si="1"/>
        <v>42.71734489</v>
      </c>
      <c r="F335" s="7">
        <f t="shared" si="2"/>
        <v>0.1316929887</v>
      </c>
      <c r="G335" s="5">
        <f t="shared" si="3"/>
        <v>5.625574818</v>
      </c>
      <c r="H335" s="7">
        <f t="shared" si="4"/>
        <v>0.1316929887</v>
      </c>
      <c r="I335" s="2" t="str">
        <f t="shared" si="5"/>
        <v>2014-11</v>
      </c>
      <c r="J335" s="2">
        <f t="shared" si="6"/>
        <v>2014</v>
      </c>
      <c r="K335" s="2">
        <f t="shared" si="7"/>
        <v>6</v>
      </c>
      <c r="L335" s="2" t="str">
        <f t="shared" si="8"/>
        <v>Fri</v>
      </c>
    </row>
    <row r="336" ht="15.0" customHeight="1">
      <c r="A336" s="4">
        <v>41972.0</v>
      </c>
      <c r="B336" s="2">
        <v>88321.63</v>
      </c>
      <c r="C336" s="2">
        <v>79880.24</v>
      </c>
      <c r="D336" s="2">
        <v>2068.0</v>
      </c>
      <c r="E336" s="5">
        <f t="shared" si="1"/>
        <v>42.70871857</v>
      </c>
      <c r="F336" s="7">
        <f t="shared" si="2"/>
        <v>0.09557556852</v>
      </c>
      <c r="G336" s="5">
        <f t="shared" si="3"/>
        <v>4.081910058</v>
      </c>
      <c r="H336" s="7">
        <f t="shared" si="4"/>
        <v>0.09557556852</v>
      </c>
      <c r="I336" s="2" t="str">
        <f t="shared" si="5"/>
        <v>2014-11</v>
      </c>
      <c r="J336" s="2">
        <f t="shared" si="6"/>
        <v>2014</v>
      </c>
      <c r="K336" s="2">
        <f t="shared" si="7"/>
        <v>7</v>
      </c>
      <c r="L336" s="2" t="str">
        <f t="shared" si="8"/>
        <v>Sat</v>
      </c>
    </row>
    <row r="337" ht="15.0" customHeight="1">
      <c r="A337" s="4">
        <v>41973.0</v>
      </c>
      <c r="B337" s="2">
        <v>101037.83</v>
      </c>
      <c r="C337" s="2">
        <v>93177.88</v>
      </c>
      <c r="D337" s="2">
        <v>2375.0</v>
      </c>
      <c r="E337" s="5">
        <f t="shared" si="1"/>
        <v>42.54224421</v>
      </c>
      <c r="F337" s="7">
        <f t="shared" si="2"/>
        <v>0.07779214973</v>
      </c>
      <c r="G337" s="5">
        <f t="shared" si="3"/>
        <v>3.309452632</v>
      </c>
      <c r="H337" s="7">
        <f t="shared" si="4"/>
        <v>0.07779214973</v>
      </c>
      <c r="I337" s="2" t="str">
        <f t="shared" si="5"/>
        <v>2014-11</v>
      </c>
      <c r="J337" s="2">
        <f t="shared" si="6"/>
        <v>2014</v>
      </c>
      <c r="K337" s="2">
        <f t="shared" si="7"/>
        <v>1</v>
      </c>
      <c r="L337" s="2" t="str">
        <f t="shared" si="8"/>
        <v>Sun</v>
      </c>
    </row>
    <row r="338" ht="15.0" customHeight="1">
      <c r="A338" s="4">
        <v>41974.0</v>
      </c>
      <c r="B338" s="2">
        <v>105100.67</v>
      </c>
      <c r="C338" s="2">
        <v>97257.39</v>
      </c>
      <c r="D338" s="2">
        <v>2492.0</v>
      </c>
      <c r="E338" s="5">
        <f t="shared" si="1"/>
        <v>42.17522873</v>
      </c>
      <c r="F338" s="7">
        <f t="shared" si="2"/>
        <v>0.07462635585</v>
      </c>
      <c r="G338" s="5">
        <f t="shared" si="3"/>
        <v>3.147383628</v>
      </c>
      <c r="H338" s="7">
        <f t="shared" si="4"/>
        <v>0.07462635585</v>
      </c>
      <c r="I338" s="2" t="str">
        <f t="shared" si="5"/>
        <v>2014-12</v>
      </c>
      <c r="J338" s="2">
        <f t="shared" si="6"/>
        <v>2014</v>
      </c>
      <c r="K338" s="2">
        <f t="shared" si="7"/>
        <v>2</v>
      </c>
      <c r="L338" s="2" t="str">
        <f t="shared" si="8"/>
        <v>Mon</v>
      </c>
    </row>
    <row r="339" ht="15.0" customHeight="1">
      <c r="A339" s="4">
        <v>41975.0</v>
      </c>
      <c r="B339" s="2">
        <v>88219.53</v>
      </c>
      <c r="C339" s="2">
        <v>85533.43</v>
      </c>
      <c r="D339" s="2">
        <v>2170.0</v>
      </c>
      <c r="E339" s="5">
        <f t="shared" si="1"/>
        <v>40.65416129</v>
      </c>
      <c r="F339" s="7">
        <f t="shared" si="2"/>
        <v>0.03044790649</v>
      </c>
      <c r="G339" s="5">
        <f t="shared" si="3"/>
        <v>1.237834101</v>
      </c>
      <c r="H339" s="7">
        <f t="shared" si="4"/>
        <v>0.03044790649</v>
      </c>
      <c r="I339" s="2" t="str">
        <f t="shared" si="5"/>
        <v>2014-12</v>
      </c>
      <c r="J339" s="2">
        <f t="shared" si="6"/>
        <v>2014</v>
      </c>
      <c r="K339" s="2">
        <f t="shared" si="7"/>
        <v>3</v>
      </c>
      <c r="L339" s="2" t="str">
        <f t="shared" si="8"/>
        <v>Tue</v>
      </c>
    </row>
    <row r="340" ht="15.0" customHeight="1">
      <c r="A340" s="4">
        <v>41976.0</v>
      </c>
      <c r="B340" s="2">
        <v>71590.37</v>
      </c>
      <c r="C340" s="2">
        <v>69654.93</v>
      </c>
      <c r="D340" s="2">
        <v>1784.0</v>
      </c>
      <c r="E340" s="5">
        <f t="shared" si="1"/>
        <v>40.12913117</v>
      </c>
      <c r="F340" s="7">
        <f t="shared" si="2"/>
        <v>0.02703492104</v>
      </c>
      <c r="G340" s="5">
        <f t="shared" si="3"/>
        <v>1.084887892</v>
      </c>
      <c r="H340" s="7">
        <f t="shared" si="4"/>
        <v>0.02703492104</v>
      </c>
      <c r="I340" s="2" t="str">
        <f t="shared" si="5"/>
        <v>2014-12</v>
      </c>
      <c r="J340" s="2">
        <f t="shared" si="6"/>
        <v>2014</v>
      </c>
      <c r="K340" s="2">
        <f t="shared" si="7"/>
        <v>4</v>
      </c>
      <c r="L340" s="2" t="str">
        <f t="shared" si="8"/>
        <v>Wed</v>
      </c>
    </row>
    <row r="341" ht="15.0" customHeight="1">
      <c r="A341" s="4">
        <v>41977.0</v>
      </c>
      <c r="B341" s="2">
        <v>54996.62</v>
      </c>
      <c r="C341" s="2">
        <v>54503.03</v>
      </c>
      <c r="D341" s="2">
        <v>1368.0</v>
      </c>
      <c r="E341" s="5">
        <f t="shared" si="1"/>
        <v>40.2022076</v>
      </c>
      <c r="F341" s="7">
        <f t="shared" si="2"/>
        <v>0.008974915186</v>
      </c>
      <c r="G341" s="5">
        <f t="shared" si="3"/>
        <v>0.3608114035</v>
      </c>
      <c r="H341" s="7">
        <f t="shared" si="4"/>
        <v>0.008974915186</v>
      </c>
      <c r="I341" s="2" t="str">
        <f t="shared" si="5"/>
        <v>2014-12</v>
      </c>
      <c r="J341" s="2">
        <f t="shared" si="6"/>
        <v>2014</v>
      </c>
      <c r="K341" s="2">
        <f t="shared" si="7"/>
        <v>5</v>
      </c>
      <c r="L341" s="2" t="str">
        <f t="shared" si="8"/>
        <v>Thu</v>
      </c>
    </row>
    <row r="342" ht="15.0" customHeight="1">
      <c r="A342" s="4">
        <v>41978.0</v>
      </c>
      <c r="B342" s="2">
        <v>77884.18</v>
      </c>
      <c r="C342" s="2">
        <v>77619.29</v>
      </c>
      <c r="D342" s="2">
        <v>1914.0</v>
      </c>
      <c r="E342" s="5">
        <f t="shared" si="1"/>
        <v>40.69183908</v>
      </c>
      <c r="F342" s="7">
        <f t="shared" si="2"/>
        <v>0.003401075803</v>
      </c>
      <c r="G342" s="5">
        <f t="shared" si="3"/>
        <v>0.1383960293</v>
      </c>
      <c r="H342" s="7">
        <f t="shared" si="4"/>
        <v>0.003401075803</v>
      </c>
      <c r="I342" s="2" t="str">
        <f t="shared" si="5"/>
        <v>2014-12</v>
      </c>
      <c r="J342" s="2">
        <f t="shared" si="6"/>
        <v>2014</v>
      </c>
      <c r="K342" s="2">
        <f t="shared" si="7"/>
        <v>6</v>
      </c>
      <c r="L342" s="2" t="str">
        <f t="shared" si="8"/>
        <v>Fri</v>
      </c>
    </row>
    <row r="343" ht="15.0" customHeight="1">
      <c r="A343" s="4">
        <v>41979.0</v>
      </c>
      <c r="B343" s="2">
        <v>150370.12</v>
      </c>
      <c r="C343" s="2">
        <v>154998.83</v>
      </c>
      <c r="D343" s="2">
        <v>3765.0</v>
      </c>
      <c r="E343" s="5">
        <f t="shared" si="1"/>
        <v>39.9389429</v>
      </c>
      <c r="F343" s="7">
        <f t="shared" si="2"/>
        <v>-0.03078211283</v>
      </c>
      <c r="G343" s="5">
        <f t="shared" si="3"/>
        <v>-1.229405046</v>
      </c>
      <c r="H343" s="7">
        <f t="shared" si="4"/>
        <v>-0.03078211283</v>
      </c>
      <c r="I343" s="2" t="str">
        <f t="shared" si="5"/>
        <v>2014-12</v>
      </c>
      <c r="J343" s="2">
        <f t="shared" si="6"/>
        <v>2014</v>
      </c>
      <c r="K343" s="2">
        <f t="shared" si="7"/>
        <v>7</v>
      </c>
      <c r="L343" s="2" t="str">
        <f t="shared" si="8"/>
        <v>Sat</v>
      </c>
    </row>
    <row r="344" ht="15.0" customHeight="1">
      <c r="A344" s="4">
        <v>41980.0</v>
      </c>
      <c r="B344" s="2">
        <v>104675.38</v>
      </c>
      <c r="C344" s="2">
        <v>111903.74</v>
      </c>
      <c r="D344" s="2">
        <v>2712.0</v>
      </c>
      <c r="E344" s="5">
        <f t="shared" si="1"/>
        <v>38.59711652</v>
      </c>
      <c r="F344" s="7">
        <f t="shared" si="2"/>
        <v>-0.06905501561</v>
      </c>
      <c r="G344" s="5">
        <f t="shared" si="3"/>
        <v>-2.665324484</v>
      </c>
      <c r="H344" s="7">
        <f t="shared" si="4"/>
        <v>-0.06905501561</v>
      </c>
      <c r="I344" s="2" t="str">
        <f t="shared" si="5"/>
        <v>2014-12</v>
      </c>
      <c r="J344" s="2">
        <f t="shared" si="6"/>
        <v>2014</v>
      </c>
      <c r="K344" s="2">
        <f t="shared" si="7"/>
        <v>1</v>
      </c>
      <c r="L344" s="2" t="str">
        <f t="shared" si="8"/>
        <v>Sun</v>
      </c>
    </row>
    <row r="345" ht="15.0" customHeight="1">
      <c r="A345" s="4">
        <v>41981.0</v>
      </c>
      <c r="B345" s="2">
        <v>90121.53</v>
      </c>
      <c r="C345" s="2">
        <v>91081.67</v>
      </c>
      <c r="D345" s="2">
        <v>2222.0</v>
      </c>
      <c r="E345" s="5">
        <f t="shared" si="1"/>
        <v>40.55874437</v>
      </c>
      <c r="F345" s="7">
        <f t="shared" si="2"/>
        <v>-0.01065383599</v>
      </c>
      <c r="G345" s="5">
        <f t="shared" si="3"/>
        <v>-0.4321062106</v>
      </c>
      <c r="H345" s="7">
        <f t="shared" si="4"/>
        <v>-0.01065383599</v>
      </c>
      <c r="I345" s="2" t="str">
        <f t="shared" si="5"/>
        <v>2014-12</v>
      </c>
      <c r="J345" s="2">
        <f t="shared" si="6"/>
        <v>2014</v>
      </c>
      <c r="K345" s="2">
        <f t="shared" si="7"/>
        <v>2</v>
      </c>
      <c r="L345" s="2" t="str">
        <f t="shared" si="8"/>
        <v>Mon</v>
      </c>
    </row>
    <row r="346" ht="15.0" customHeight="1">
      <c r="A346" s="4">
        <v>41982.0</v>
      </c>
      <c r="B346" s="2">
        <v>75425.44</v>
      </c>
      <c r="C346" s="2">
        <v>77014.26</v>
      </c>
      <c r="D346" s="2">
        <v>1861.0</v>
      </c>
      <c r="E346" s="5">
        <f t="shared" si="1"/>
        <v>40.52952176</v>
      </c>
      <c r="F346" s="7">
        <f t="shared" si="2"/>
        <v>-0.02106477602</v>
      </c>
      <c r="G346" s="5">
        <f t="shared" si="3"/>
        <v>-0.8537452982</v>
      </c>
      <c r="H346" s="7">
        <f t="shared" si="4"/>
        <v>-0.02106477602</v>
      </c>
      <c r="I346" s="2" t="str">
        <f t="shared" si="5"/>
        <v>2014-12</v>
      </c>
      <c r="J346" s="2">
        <f t="shared" si="6"/>
        <v>2014</v>
      </c>
      <c r="K346" s="2">
        <f t="shared" si="7"/>
        <v>3</v>
      </c>
      <c r="L346" s="2" t="str">
        <f t="shared" si="8"/>
        <v>Tue</v>
      </c>
    </row>
    <row r="347" ht="15.0" customHeight="1">
      <c r="A347" s="4">
        <v>41983.0</v>
      </c>
      <c r="B347" s="2">
        <v>161844.81</v>
      </c>
      <c r="C347" s="2">
        <v>169348.52</v>
      </c>
      <c r="D347" s="2">
        <v>4095.0</v>
      </c>
      <c r="E347" s="5">
        <f t="shared" si="1"/>
        <v>39.52254212</v>
      </c>
      <c r="F347" s="7">
        <f t="shared" si="2"/>
        <v>-0.04636361215</v>
      </c>
      <c r="G347" s="5">
        <f t="shared" si="3"/>
        <v>-1.832407814</v>
      </c>
      <c r="H347" s="7">
        <f t="shared" si="4"/>
        <v>-0.04636361215</v>
      </c>
      <c r="I347" s="2" t="str">
        <f t="shared" si="5"/>
        <v>2014-12</v>
      </c>
      <c r="J347" s="2">
        <f t="shared" si="6"/>
        <v>2014</v>
      </c>
      <c r="K347" s="2">
        <f t="shared" si="7"/>
        <v>4</v>
      </c>
      <c r="L347" s="2" t="str">
        <f t="shared" si="8"/>
        <v>Wed</v>
      </c>
    </row>
    <row r="348" ht="15.0" customHeight="1">
      <c r="A348" s="4">
        <v>41984.0</v>
      </c>
      <c r="B348" s="2">
        <v>158603.36</v>
      </c>
      <c r="C348" s="2">
        <v>171692.99</v>
      </c>
      <c r="D348" s="2">
        <v>4157.0</v>
      </c>
      <c r="E348" s="5">
        <f t="shared" si="1"/>
        <v>38.15332211</v>
      </c>
      <c r="F348" s="7">
        <f t="shared" si="2"/>
        <v>-0.08253059708</v>
      </c>
      <c r="G348" s="5">
        <f t="shared" si="3"/>
        <v>-3.148816454</v>
      </c>
      <c r="H348" s="7">
        <f t="shared" si="4"/>
        <v>-0.08253059708</v>
      </c>
      <c r="I348" s="2" t="str">
        <f t="shared" si="5"/>
        <v>2014-12</v>
      </c>
      <c r="J348" s="2">
        <f t="shared" si="6"/>
        <v>2014</v>
      </c>
      <c r="K348" s="2">
        <f t="shared" si="7"/>
        <v>5</v>
      </c>
      <c r="L348" s="2" t="str">
        <f t="shared" si="8"/>
        <v>Thu</v>
      </c>
    </row>
    <row r="349" ht="15.0" customHeight="1">
      <c r="A349" s="4">
        <v>41985.0</v>
      </c>
      <c r="B349" s="2">
        <v>279092.1</v>
      </c>
      <c r="C349" s="2">
        <v>301236.11</v>
      </c>
      <c r="D349" s="2">
        <v>7259.0</v>
      </c>
      <c r="E349" s="5">
        <f t="shared" si="1"/>
        <v>38.44773385</v>
      </c>
      <c r="F349" s="7">
        <f t="shared" si="2"/>
        <v>-0.07934301974</v>
      </c>
      <c r="G349" s="5">
        <f t="shared" si="3"/>
        <v>-3.050559306</v>
      </c>
      <c r="H349" s="7">
        <f t="shared" si="4"/>
        <v>-0.07934301974</v>
      </c>
      <c r="I349" s="2" t="str">
        <f t="shared" si="5"/>
        <v>2014-12</v>
      </c>
      <c r="J349" s="2">
        <f t="shared" si="6"/>
        <v>2014</v>
      </c>
      <c r="K349" s="2">
        <f t="shared" si="7"/>
        <v>6</v>
      </c>
      <c r="L349" s="2" t="str">
        <f t="shared" si="8"/>
        <v>Fri</v>
      </c>
    </row>
    <row r="350" ht="15.0" customHeight="1">
      <c r="A350" s="4">
        <v>41986.0</v>
      </c>
      <c r="B350" s="2">
        <v>369350.99</v>
      </c>
      <c r="C350" s="2">
        <v>402564.68</v>
      </c>
      <c r="D350" s="2">
        <v>9654.0</v>
      </c>
      <c r="E350" s="5">
        <f t="shared" si="1"/>
        <v>38.2588554</v>
      </c>
      <c r="F350" s="7">
        <f t="shared" si="2"/>
        <v>-0.08992446453</v>
      </c>
      <c r="G350" s="5">
        <f t="shared" si="3"/>
        <v>-3.440407085</v>
      </c>
      <c r="H350" s="7">
        <f t="shared" si="4"/>
        <v>-0.08992446453</v>
      </c>
      <c r="I350" s="2" t="str">
        <f t="shared" si="5"/>
        <v>2014-12</v>
      </c>
      <c r="J350" s="2">
        <f t="shared" si="6"/>
        <v>2014</v>
      </c>
      <c r="K350" s="2">
        <f t="shared" si="7"/>
        <v>7</v>
      </c>
      <c r="L350" s="2" t="str">
        <f t="shared" si="8"/>
        <v>Sat</v>
      </c>
    </row>
    <row r="351" ht="15.0" customHeight="1">
      <c r="A351" s="4">
        <v>41987.0</v>
      </c>
      <c r="B351" s="2">
        <v>177500.11</v>
      </c>
      <c r="C351" s="2">
        <v>192327.32</v>
      </c>
      <c r="D351" s="2">
        <v>4632.0</v>
      </c>
      <c r="E351" s="5">
        <f t="shared" si="1"/>
        <v>38.32040371</v>
      </c>
      <c r="F351" s="7">
        <f t="shared" si="2"/>
        <v>-0.0835335257</v>
      </c>
      <c r="G351" s="5">
        <f t="shared" si="3"/>
        <v>-3.201038428</v>
      </c>
      <c r="H351" s="7">
        <f t="shared" si="4"/>
        <v>-0.0835335257</v>
      </c>
      <c r="I351" s="2" t="str">
        <f t="shared" si="5"/>
        <v>2014-12</v>
      </c>
      <c r="J351" s="2">
        <f t="shared" si="6"/>
        <v>2014</v>
      </c>
      <c r="K351" s="2">
        <f t="shared" si="7"/>
        <v>1</v>
      </c>
      <c r="L351" s="2" t="str">
        <f t="shared" si="8"/>
        <v>Sun</v>
      </c>
    </row>
    <row r="352" ht="15.0" customHeight="1">
      <c r="A352" s="4">
        <v>41988.0</v>
      </c>
      <c r="B352" s="2">
        <v>282246.63</v>
      </c>
      <c r="C352" s="2">
        <v>304489.64</v>
      </c>
      <c r="D352" s="2">
        <v>7341.0</v>
      </c>
      <c r="E352" s="5">
        <f t="shared" si="1"/>
        <v>38.4479812</v>
      </c>
      <c r="F352" s="7">
        <f t="shared" si="2"/>
        <v>-0.0788069994</v>
      </c>
      <c r="G352" s="5">
        <f t="shared" si="3"/>
        <v>-3.029970031</v>
      </c>
      <c r="H352" s="7">
        <f t="shared" si="4"/>
        <v>-0.0788069994</v>
      </c>
      <c r="I352" s="2" t="str">
        <f t="shared" si="5"/>
        <v>2014-12</v>
      </c>
      <c r="J352" s="2">
        <f t="shared" si="6"/>
        <v>2014</v>
      </c>
      <c r="K352" s="2">
        <f t="shared" si="7"/>
        <v>2</v>
      </c>
      <c r="L352" s="2" t="str">
        <f t="shared" si="8"/>
        <v>Mon</v>
      </c>
    </row>
    <row r="353" ht="15.0" customHeight="1">
      <c r="A353" s="4">
        <v>41989.0</v>
      </c>
      <c r="B353" s="2">
        <v>166037.93</v>
      </c>
      <c r="C353" s="2">
        <v>179571.13</v>
      </c>
      <c r="D353" s="2">
        <v>4308.0</v>
      </c>
      <c r="E353" s="5">
        <f t="shared" si="1"/>
        <v>38.54176648</v>
      </c>
      <c r="F353" s="7">
        <f t="shared" si="2"/>
        <v>-0.08150667742</v>
      </c>
      <c r="G353" s="5">
        <f t="shared" si="3"/>
        <v>-3.141411328</v>
      </c>
      <c r="H353" s="7">
        <f t="shared" si="4"/>
        <v>-0.08150667742</v>
      </c>
      <c r="I353" s="2" t="str">
        <f t="shared" si="5"/>
        <v>2014-12</v>
      </c>
      <c r="J353" s="2">
        <f t="shared" si="6"/>
        <v>2014</v>
      </c>
      <c r="K353" s="2">
        <f t="shared" si="7"/>
        <v>3</v>
      </c>
      <c r="L353" s="2" t="str">
        <f t="shared" si="8"/>
        <v>Tue</v>
      </c>
    </row>
    <row r="354" ht="15.0" customHeight="1">
      <c r="A354" s="4">
        <v>41990.0</v>
      </c>
      <c r="B354" s="2">
        <v>148911.0</v>
      </c>
      <c r="C354" s="2">
        <v>161137.52</v>
      </c>
      <c r="D354" s="2">
        <v>3865.0</v>
      </c>
      <c r="E354" s="5">
        <f t="shared" si="1"/>
        <v>38.52807245</v>
      </c>
      <c r="F354" s="7">
        <f t="shared" si="2"/>
        <v>-0.08210622452</v>
      </c>
      <c r="G354" s="5">
        <f t="shared" si="3"/>
        <v>-3.163394567</v>
      </c>
      <c r="H354" s="7">
        <f t="shared" si="4"/>
        <v>-0.08210622452</v>
      </c>
      <c r="I354" s="2" t="str">
        <f t="shared" si="5"/>
        <v>2014-12</v>
      </c>
      <c r="J354" s="2">
        <f t="shared" si="6"/>
        <v>2014</v>
      </c>
      <c r="K354" s="2">
        <f t="shared" si="7"/>
        <v>4</v>
      </c>
      <c r="L354" s="2" t="str">
        <f t="shared" si="8"/>
        <v>Wed</v>
      </c>
    </row>
    <row r="355" ht="15.0" customHeight="1">
      <c r="A355" s="4">
        <v>41991.0</v>
      </c>
      <c r="B355" s="2">
        <v>202359.14</v>
      </c>
      <c r="C355" s="2">
        <v>221435.77</v>
      </c>
      <c r="D355" s="2">
        <v>5288.0</v>
      </c>
      <c r="E355" s="5">
        <f t="shared" si="1"/>
        <v>38.26761346</v>
      </c>
      <c r="F355" s="7">
        <f t="shared" si="2"/>
        <v>-0.09427115573</v>
      </c>
      <c r="G355" s="5">
        <f t="shared" si="3"/>
        <v>-3.607532148</v>
      </c>
      <c r="H355" s="7">
        <f t="shared" si="4"/>
        <v>-0.09427115573</v>
      </c>
      <c r="I355" s="2" t="str">
        <f t="shared" si="5"/>
        <v>2014-12</v>
      </c>
      <c r="J355" s="2">
        <f t="shared" si="6"/>
        <v>2014</v>
      </c>
      <c r="K355" s="2">
        <f t="shared" si="7"/>
        <v>5</v>
      </c>
      <c r="L355" s="2" t="str">
        <f t="shared" si="8"/>
        <v>Thu</v>
      </c>
    </row>
    <row r="356" ht="15.0" customHeight="1">
      <c r="A356" s="4">
        <v>41992.0</v>
      </c>
      <c r="B356" s="2">
        <v>274343.65</v>
      </c>
      <c r="C356" s="2">
        <v>299516.84</v>
      </c>
      <c r="D356" s="2">
        <v>7141.0</v>
      </c>
      <c r="E356" s="5">
        <f t="shared" si="1"/>
        <v>38.41809971</v>
      </c>
      <c r="F356" s="7">
        <f t="shared" si="2"/>
        <v>-0.09175787375</v>
      </c>
      <c r="G356" s="5">
        <f t="shared" si="3"/>
        <v>-3.525163142</v>
      </c>
      <c r="H356" s="7">
        <f t="shared" si="4"/>
        <v>-0.09175787375</v>
      </c>
      <c r="I356" s="2" t="str">
        <f t="shared" si="5"/>
        <v>2014-12</v>
      </c>
      <c r="J356" s="2">
        <f t="shared" si="6"/>
        <v>2014</v>
      </c>
      <c r="K356" s="2">
        <f t="shared" si="7"/>
        <v>6</v>
      </c>
      <c r="L356" s="2" t="str">
        <f t="shared" si="8"/>
        <v>Fri</v>
      </c>
    </row>
    <row r="357" ht="15.0" customHeight="1">
      <c r="A357" s="4">
        <v>41993.0</v>
      </c>
      <c r="B357" s="2">
        <v>316167.07</v>
      </c>
      <c r="C357" s="2">
        <v>346378.3</v>
      </c>
      <c r="D357" s="2">
        <v>8268.0</v>
      </c>
      <c r="E357" s="5">
        <f t="shared" si="1"/>
        <v>38.23984881</v>
      </c>
      <c r="F357" s="7">
        <f t="shared" si="2"/>
        <v>-0.09555463825</v>
      </c>
      <c r="G357" s="5">
        <f t="shared" si="3"/>
        <v>-3.65399492</v>
      </c>
      <c r="H357" s="7">
        <f t="shared" si="4"/>
        <v>-0.09555463825</v>
      </c>
      <c r="I357" s="2" t="str">
        <f t="shared" si="5"/>
        <v>2014-12</v>
      </c>
      <c r="J357" s="2">
        <f t="shared" si="6"/>
        <v>2014</v>
      </c>
      <c r="K357" s="2">
        <f t="shared" si="7"/>
        <v>7</v>
      </c>
      <c r="L357" s="2" t="str">
        <f t="shared" si="8"/>
        <v>Sat</v>
      </c>
    </row>
    <row r="358" ht="15.0" customHeight="1">
      <c r="A358" s="4">
        <v>41994.0</v>
      </c>
      <c r="B358" s="2">
        <v>173833.4</v>
      </c>
      <c r="C358" s="2">
        <v>190644.5</v>
      </c>
      <c r="D358" s="2">
        <v>4541.0</v>
      </c>
      <c r="E358" s="5">
        <f t="shared" si="1"/>
        <v>38.28086325</v>
      </c>
      <c r="F358" s="7">
        <f t="shared" si="2"/>
        <v>-0.09670811248</v>
      </c>
      <c r="G358" s="5">
        <f t="shared" si="3"/>
        <v>-3.702070029</v>
      </c>
      <c r="H358" s="7">
        <f t="shared" si="4"/>
        <v>-0.09670811248</v>
      </c>
      <c r="I358" s="2" t="str">
        <f t="shared" si="5"/>
        <v>2014-12</v>
      </c>
      <c r="J358" s="2">
        <f t="shared" si="6"/>
        <v>2014</v>
      </c>
      <c r="K358" s="2">
        <f t="shared" si="7"/>
        <v>1</v>
      </c>
      <c r="L358" s="2" t="str">
        <f t="shared" si="8"/>
        <v>Sun</v>
      </c>
    </row>
    <row r="359" ht="15.0" customHeight="1">
      <c r="A359" s="4">
        <v>41995.0</v>
      </c>
      <c r="B359" s="2">
        <v>204565.08</v>
      </c>
      <c r="C359" s="2">
        <v>210188.91</v>
      </c>
      <c r="D359" s="2">
        <v>5014.0</v>
      </c>
      <c r="E359" s="5">
        <f t="shared" si="1"/>
        <v>40.79877942</v>
      </c>
      <c r="F359" s="7">
        <f t="shared" si="2"/>
        <v>-0.02749164227</v>
      </c>
      <c r="G359" s="5">
        <f t="shared" si="3"/>
        <v>-1.121625449</v>
      </c>
      <c r="H359" s="7">
        <f t="shared" si="4"/>
        <v>-0.02749164227</v>
      </c>
      <c r="I359" s="2" t="str">
        <f t="shared" si="5"/>
        <v>2014-12</v>
      </c>
      <c r="J359" s="2">
        <f t="shared" si="6"/>
        <v>2014</v>
      </c>
      <c r="K359" s="2">
        <f t="shared" si="7"/>
        <v>2</v>
      </c>
      <c r="L359" s="2" t="str">
        <f t="shared" si="8"/>
        <v>Mon</v>
      </c>
    </row>
    <row r="360" ht="15.0" customHeight="1">
      <c r="A360" s="4">
        <v>41996.0</v>
      </c>
      <c r="B360" s="2">
        <v>316394.73</v>
      </c>
      <c r="C360" s="2">
        <v>326627.14</v>
      </c>
      <c r="D360" s="2">
        <v>7778.0</v>
      </c>
      <c r="E360" s="5">
        <f t="shared" si="1"/>
        <v>40.6781602</v>
      </c>
      <c r="F360" s="7">
        <f t="shared" si="2"/>
        <v>-0.03234064613</v>
      </c>
      <c r="G360" s="5">
        <f t="shared" si="3"/>
        <v>-1.315557984</v>
      </c>
      <c r="H360" s="7">
        <f t="shared" si="4"/>
        <v>-0.03234064613</v>
      </c>
      <c r="I360" s="2" t="str">
        <f t="shared" si="5"/>
        <v>2014-12</v>
      </c>
      <c r="J360" s="2">
        <f t="shared" si="6"/>
        <v>2014</v>
      </c>
      <c r="K360" s="2">
        <f t="shared" si="7"/>
        <v>3</v>
      </c>
      <c r="L360" s="2" t="str">
        <f t="shared" si="8"/>
        <v>Tue</v>
      </c>
    </row>
    <row r="361" ht="15.0" customHeight="1">
      <c r="A361" s="4">
        <v>41997.0</v>
      </c>
      <c r="B361" s="2">
        <v>486230.32</v>
      </c>
      <c r="C361" s="2">
        <v>495909.09</v>
      </c>
      <c r="D361" s="2">
        <v>11809.0</v>
      </c>
      <c r="E361" s="5">
        <f t="shared" si="1"/>
        <v>41.174555</v>
      </c>
      <c r="F361" s="7">
        <f t="shared" si="2"/>
        <v>-0.01990573109</v>
      </c>
      <c r="G361" s="5">
        <f t="shared" si="3"/>
        <v>-0.8196096198</v>
      </c>
      <c r="H361" s="7">
        <f t="shared" si="4"/>
        <v>-0.01990573109</v>
      </c>
      <c r="I361" s="2" t="str">
        <f t="shared" si="5"/>
        <v>2014-12</v>
      </c>
      <c r="J361" s="2">
        <f t="shared" si="6"/>
        <v>2014</v>
      </c>
      <c r="K361" s="2">
        <f t="shared" si="7"/>
        <v>4</v>
      </c>
      <c r="L361" s="2" t="str">
        <f t="shared" si="8"/>
        <v>Wed</v>
      </c>
    </row>
    <row r="362" ht="15.0" customHeight="1">
      <c r="A362" s="4">
        <v>41998.0</v>
      </c>
      <c r="B362" s="2">
        <v>137686.53</v>
      </c>
      <c r="C362" s="2">
        <v>140525.79</v>
      </c>
      <c r="D362" s="2">
        <v>3344.0</v>
      </c>
      <c r="E362" s="5">
        <f t="shared" si="1"/>
        <v>41.17420156</v>
      </c>
      <c r="F362" s="7">
        <f t="shared" si="2"/>
        <v>-0.02062118931</v>
      </c>
      <c r="G362" s="5">
        <f t="shared" si="3"/>
        <v>-0.8490610048</v>
      </c>
      <c r="H362" s="7">
        <f t="shared" si="4"/>
        <v>-0.02062118931</v>
      </c>
      <c r="I362" s="2" t="str">
        <f t="shared" si="5"/>
        <v>2014-12</v>
      </c>
      <c r="J362" s="2">
        <f t="shared" si="6"/>
        <v>2014</v>
      </c>
      <c r="K362" s="2">
        <f t="shared" si="7"/>
        <v>5</v>
      </c>
      <c r="L362" s="2" t="str">
        <f t="shared" si="8"/>
        <v>Thu</v>
      </c>
    </row>
    <row r="363" ht="15.0" customHeight="1">
      <c r="A363" s="4">
        <v>41999.0</v>
      </c>
      <c r="B363" s="2">
        <v>48102.96</v>
      </c>
      <c r="C363" s="2">
        <v>49028.37</v>
      </c>
      <c r="D363" s="2">
        <v>1169.0</v>
      </c>
      <c r="E363" s="5">
        <f t="shared" si="1"/>
        <v>41.14881095</v>
      </c>
      <c r="F363" s="7">
        <f t="shared" si="2"/>
        <v>-0.01923810926</v>
      </c>
      <c r="G363" s="5">
        <f t="shared" si="3"/>
        <v>-0.7916253208</v>
      </c>
      <c r="H363" s="7">
        <f t="shared" si="4"/>
        <v>-0.01923810926</v>
      </c>
      <c r="I363" s="2" t="str">
        <f t="shared" si="5"/>
        <v>2014-12</v>
      </c>
      <c r="J363" s="2">
        <f t="shared" si="6"/>
        <v>2014</v>
      </c>
      <c r="K363" s="2">
        <f t="shared" si="7"/>
        <v>6</v>
      </c>
      <c r="L363" s="2" t="str">
        <f t="shared" si="8"/>
        <v>Fri</v>
      </c>
    </row>
    <row r="364" ht="15.0" customHeight="1">
      <c r="A364" s="4">
        <v>42000.0</v>
      </c>
      <c r="B364" s="2">
        <v>110162.13</v>
      </c>
      <c r="C364" s="2">
        <v>112383.56</v>
      </c>
      <c r="D364" s="2">
        <v>2676.0</v>
      </c>
      <c r="E364" s="5">
        <f t="shared" si="1"/>
        <v>41.16671525</v>
      </c>
      <c r="F364" s="7">
        <f t="shared" si="2"/>
        <v>-0.02016509666</v>
      </c>
      <c r="G364" s="5">
        <f t="shared" si="3"/>
        <v>-0.8301307922</v>
      </c>
      <c r="H364" s="7">
        <f t="shared" si="4"/>
        <v>-0.02016509666</v>
      </c>
      <c r="I364" s="2" t="str">
        <f t="shared" si="5"/>
        <v>2014-12</v>
      </c>
      <c r="J364" s="2">
        <f t="shared" si="6"/>
        <v>2014</v>
      </c>
      <c r="K364" s="2">
        <f t="shared" si="7"/>
        <v>7</v>
      </c>
      <c r="L364" s="2" t="str">
        <f t="shared" si="8"/>
        <v>Sat</v>
      </c>
    </row>
    <row r="365" ht="15.0" customHeight="1">
      <c r="A365" s="4">
        <v>42001.0</v>
      </c>
      <c r="B365" s="2">
        <v>69051.34</v>
      </c>
      <c r="C365" s="2">
        <v>70482.72</v>
      </c>
      <c r="D365" s="2">
        <v>1677.0</v>
      </c>
      <c r="E365" s="5">
        <f t="shared" si="1"/>
        <v>41.1755158</v>
      </c>
      <c r="F365" s="7">
        <f t="shared" si="2"/>
        <v>-0.02072921394</v>
      </c>
      <c r="G365" s="5">
        <f t="shared" si="3"/>
        <v>-0.8535360763</v>
      </c>
      <c r="H365" s="7">
        <f t="shared" si="4"/>
        <v>-0.02072921394</v>
      </c>
      <c r="I365" s="2" t="str">
        <f t="shared" si="5"/>
        <v>2014-12</v>
      </c>
      <c r="J365" s="2">
        <f t="shared" si="6"/>
        <v>2014</v>
      </c>
      <c r="K365" s="2">
        <f t="shared" si="7"/>
        <v>1</v>
      </c>
      <c r="L365" s="2" t="str">
        <f t="shared" si="8"/>
        <v>Sun</v>
      </c>
    </row>
    <row r="366" ht="15.0" customHeight="1">
      <c r="A366" s="4">
        <v>42002.0</v>
      </c>
      <c r="B366" s="2">
        <v>133307.37</v>
      </c>
      <c r="C366" s="2">
        <v>136003.48</v>
      </c>
      <c r="D366" s="2">
        <v>3237.0</v>
      </c>
      <c r="E366" s="5">
        <f t="shared" si="1"/>
        <v>41.18238184</v>
      </c>
      <c r="F366" s="7">
        <f t="shared" si="2"/>
        <v>-0.02022476327</v>
      </c>
      <c r="G366" s="5">
        <f t="shared" si="3"/>
        <v>-0.8329039234</v>
      </c>
      <c r="H366" s="7">
        <f t="shared" si="4"/>
        <v>-0.02022476327</v>
      </c>
      <c r="I366" s="2" t="str">
        <f t="shared" si="5"/>
        <v>2014-12</v>
      </c>
      <c r="J366" s="2">
        <f t="shared" si="6"/>
        <v>2014</v>
      </c>
      <c r="K366" s="2">
        <f t="shared" si="7"/>
        <v>2</v>
      </c>
      <c r="L366" s="2" t="str">
        <f t="shared" si="8"/>
        <v>Mon</v>
      </c>
    </row>
    <row r="367" ht="15.0" customHeight="1">
      <c r="A367" s="4">
        <v>42003.0</v>
      </c>
      <c r="B367" s="2">
        <v>216389.5</v>
      </c>
      <c r="C367" s="2">
        <v>235723.76</v>
      </c>
      <c r="D367" s="2">
        <v>5607.0</v>
      </c>
      <c r="E367" s="5">
        <f t="shared" si="1"/>
        <v>38.59274122</v>
      </c>
      <c r="F367" s="7">
        <f t="shared" si="2"/>
        <v>-0.08934934458</v>
      </c>
      <c r="G367" s="5">
        <f t="shared" si="3"/>
        <v>-3.448236133</v>
      </c>
      <c r="H367" s="7">
        <f t="shared" si="4"/>
        <v>-0.08934934458</v>
      </c>
      <c r="I367" s="2" t="str">
        <f t="shared" si="5"/>
        <v>2014-12</v>
      </c>
      <c r="J367" s="2">
        <f t="shared" si="6"/>
        <v>2014</v>
      </c>
      <c r="K367" s="2">
        <f t="shared" si="7"/>
        <v>3</v>
      </c>
      <c r="L367" s="2" t="str">
        <f t="shared" si="8"/>
        <v>Tue</v>
      </c>
    </row>
    <row r="368" ht="15.0" customHeight="1">
      <c r="A368" s="4">
        <v>42004.0</v>
      </c>
      <c r="B368" s="2">
        <v>365055.31</v>
      </c>
      <c r="C368" s="2">
        <v>398013.35</v>
      </c>
      <c r="D368" s="2">
        <v>9464.0</v>
      </c>
      <c r="E368" s="5">
        <f t="shared" si="1"/>
        <v>38.57304628</v>
      </c>
      <c r="F368" s="7">
        <f t="shared" si="2"/>
        <v>-0.09028231914</v>
      </c>
      <c r="G368" s="5">
        <f t="shared" si="3"/>
        <v>-3.482464074</v>
      </c>
      <c r="H368" s="7">
        <f t="shared" si="4"/>
        <v>-0.09028231914</v>
      </c>
      <c r="I368" s="2" t="str">
        <f t="shared" si="5"/>
        <v>2014-12</v>
      </c>
      <c r="J368" s="2">
        <f t="shared" si="6"/>
        <v>2014</v>
      </c>
      <c r="K368" s="2">
        <f t="shared" si="7"/>
        <v>4</v>
      </c>
      <c r="L368" s="2" t="str">
        <f t="shared" si="8"/>
        <v>Wed</v>
      </c>
    </row>
    <row r="369" ht="15.0" customHeight="1">
      <c r="A369" s="4">
        <v>42005.0</v>
      </c>
      <c r="B369" s="2">
        <v>112161.42</v>
      </c>
      <c r="C369" s="2">
        <v>122170.43</v>
      </c>
      <c r="D369" s="2">
        <v>2905.0</v>
      </c>
      <c r="E369" s="5">
        <f t="shared" si="1"/>
        <v>38.60978313</v>
      </c>
      <c r="F369" s="7">
        <f t="shared" si="2"/>
        <v>-0.0892375471</v>
      </c>
      <c r="G369" s="5">
        <f t="shared" si="3"/>
        <v>-3.445442341</v>
      </c>
      <c r="H369" s="7">
        <f t="shared" si="4"/>
        <v>-0.0892375471</v>
      </c>
      <c r="I369" s="2" t="str">
        <f t="shared" si="5"/>
        <v>2015-01</v>
      </c>
      <c r="J369" s="2">
        <f t="shared" si="6"/>
        <v>2015</v>
      </c>
      <c r="K369" s="2">
        <f t="shared" si="7"/>
        <v>5</v>
      </c>
      <c r="L369" s="2" t="str">
        <f t="shared" si="8"/>
        <v>Thu</v>
      </c>
    </row>
    <row r="370" ht="15.0" customHeight="1">
      <c r="A370" s="4">
        <v>42006.0</v>
      </c>
      <c r="B370" s="2">
        <v>271101.46</v>
      </c>
      <c r="C370" s="2">
        <v>295019.47</v>
      </c>
      <c r="D370" s="2">
        <v>7023.0</v>
      </c>
      <c r="E370" s="5">
        <f t="shared" si="1"/>
        <v>38.60194504</v>
      </c>
      <c r="F370" s="7">
        <f t="shared" si="2"/>
        <v>-0.08822530871</v>
      </c>
      <c r="G370" s="5">
        <f t="shared" si="3"/>
        <v>-3.405668518</v>
      </c>
      <c r="H370" s="7">
        <f t="shared" si="4"/>
        <v>-0.08822530871</v>
      </c>
      <c r="I370" s="2" t="str">
        <f t="shared" si="5"/>
        <v>2015-01</v>
      </c>
      <c r="J370" s="2">
        <f t="shared" si="6"/>
        <v>2015</v>
      </c>
      <c r="K370" s="2">
        <f t="shared" si="7"/>
        <v>6</v>
      </c>
      <c r="L370" s="2" t="str">
        <f t="shared" si="8"/>
        <v>Fri</v>
      </c>
    </row>
    <row r="371" ht="15.0" customHeight="1">
      <c r="A371" s="4">
        <v>42007.0</v>
      </c>
      <c r="B371" s="2">
        <v>245813.29</v>
      </c>
      <c r="C371" s="2">
        <v>267734.73</v>
      </c>
      <c r="D371" s="2">
        <v>6371.0</v>
      </c>
      <c r="E371" s="5">
        <f t="shared" si="1"/>
        <v>38.58315649</v>
      </c>
      <c r="F371" s="7">
        <f t="shared" si="2"/>
        <v>-0.0891792303</v>
      </c>
      <c r="G371" s="5">
        <f t="shared" si="3"/>
        <v>-3.440816198</v>
      </c>
      <c r="H371" s="7">
        <f t="shared" si="4"/>
        <v>-0.0891792303</v>
      </c>
      <c r="I371" s="2" t="str">
        <f t="shared" si="5"/>
        <v>2015-01</v>
      </c>
      <c r="J371" s="2">
        <f t="shared" si="6"/>
        <v>2015</v>
      </c>
      <c r="K371" s="2">
        <f t="shared" si="7"/>
        <v>7</v>
      </c>
      <c r="L371" s="2" t="str">
        <f t="shared" si="8"/>
        <v>Sat</v>
      </c>
    </row>
    <row r="372" ht="15.0" customHeight="1">
      <c r="A372" s="4">
        <v>42008.0</v>
      </c>
      <c r="B372" s="2">
        <v>178394.81</v>
      </c>
      <c r="C372" s="2">
        <v>194427.45</v>
      </c>
      <c r="D372" s="2">
        <v>4624.0</v>
      </c>
      <c r="E372" s="5">
        <f t="shared" si="1"/>
        <v>38.58019247</v>
      </c>
      <c r="F372" s="7">
        <f t="shared" si="2"/>
        <v>-0.08987167284</v>
      </c>
      <c r="G372" s="5">
        <f t="shared" si="3"/>
        <v>-3.467266436</v>
      </c>
      <c r="H372" s="7">
        <f t="shared" si="4"/>
        <v>-0.08987167284</v>
      </c>
      <c r="I372" s="2" t="str">
        <f t="shared" si="5"/>
        <v>2015-01</v>
      </c>
      <c r="J372" s="2">
        <f t="shared" si="6"/>
        <v>2015</v>
      </c>
      <c r="K372" s="2">
        <f t="shared" si="7"/>
        <v>1</v>
      </c>
      <c r="L372" s="2" t="str">
        <f t="shared" si="8"/>
        <v>Sun</v>
      </c>
    </row>
    <row r="373" ht="15.0" customHeight="1">
      <c r="A373" s="4">
        <v>42009.0</v>
      </c>
      <c r="B373" s="2">
        <v>220443.63</v>
      </c>
      <c r="C373" s="2">
        <v>239988.03</v>
      </c>
      <c r="D373" s="2">
        <v>5717.0</v>
      </c>
      <c r="E373" s="5">
        <f t="shared" si="1"/>
        <v>38.55931957</v>
      </c>
      <c r="F373" s="7">
        <f t="shared" si="2"/>
        <v>-0.08865940014</v>
      </c>
      <c r="G373" s="5">
        <f t="shared" si="3"/>
        <v>-3.418646143</v>
      </c>
      <c r="H373" s="7">
        <f t="shared" si="4"/>
        <v>-0.08865940014</v>
      </c>
      <c r="I373" s="2" t="str">
        <f t="shared" si="5"/>
        <v>2015-01</v>
      </c>
      <c r="J373" s="2">
        <f t="shared" si="6"/>
        <v>2015</v>
      </c>
      <c r="K373" s="2">
        <f t="shared" si="7"/>
        <v>2</v>
      </c>
      <c r="L373" s="2" t="str">
        <f t="shared" si="8"/>
        <v>Mon</v>
      </c>
    </row>
    <row r="374" ht="15.0" customHeight="1">
      <c r="A374" s="4">
        <v>42010.0</v>
      </c>
      <c r="B374" s="2">
        <v>181534.19</v>
      </c>
      <c r="C374" s="2">
        <v>197328.94</v>
      </c>
      <c r="D374" s="2">
        <v>4705.0</v>
      </c>
      <c r="E374" s="5">
        <f t="shared" si="1"/>
        <v>38.58324973</v>
      </c>
      <c r="F374" s="7">
        <f t="shared" si="2"/>
        <v>-0.08700702606</v>
      </c>
      <c r="G374" s="5">
        <f t="shared" si="3"/>
        <v>-3.357013815</v>
      </c>
      <c r="H374" s="7">
        <f t="shared" si="4"/>
        <v>-0.08700702606</v>
      </c>
      <c r="I374" s="2" t="str">
        <f t="shared" si="5"/>
        <v>2015-01</v>
      </c>
      <c r="J374" s="2">
        <f t="shared" si="6"/>
        <v>2015</v>
      </c>
      <c r="K374" s="2">
        <f t="shared" si="7"/>
        <v>3</v>
      </c>
      <c r="L374" s="2" t="str">
        <f t="shared" si="8"/>
        <v>Tue</v>
      </c>
    </row>
    <row r="375" ht="15.0" customHeight="1">
      <c r="A375" s="4">
        <v>42011.0</v>
      </c>
      <c r="B375" s="2">
        <v>83176.48</v>
      </c>
      <c r="C375" s="2">
        <v>84728.83</v>
      </c>
      <c r="D375" s="2">
        <v>2020.0</v>
      </c>
      <c r="E375" s="5">
        <f t="shared" si="1"/>
        <v>41.17647525</v>
      </c>
      <c r="F375" s="7">
        <f t="shared" si="2"/>
        <v>-0.01866332886</v>
      </c>
      <c r="G375" s="5">
        <f t="shared" si="3"/>
        <v>-0.768490099</v>
      </c>
      <c r="H375" s="7">
        <f t="shared" si="4"/>
        <v>-0.01866332886</v>
      </c>
      <c r="I375" s="2" t="str">
        <f t="shared" si="5"/>
        <v>2015-01</v>
      </c>
      <c r="J375" s="2">
        <f t="shared" si="6"/>
        <v>2015</v>
      </c>
      <c r="K375" s="2">
        <f t="shared" si="7"/>
        <v>4</v>
      </c>
      <c r="L375" s="2" t="str">
        <f t="shared" si="8"/>
        <v>Wed</v>
      </c>
    </row>
    <row r="376" ht="15.0" customHeight="1">
      <c r="A376" s="4">
        <v>42012.0</v>
      </c>
      <c r="B376" s="2">
        <v>76894.78</v>
      </c>
      <c r="C376" s="2">
        <v>78468.1</v>
      </c>
      <c r="D376" s="2">
        <v>1868.0</v>
      </c>
      <c r="E376" s="5">
        <f t="shared" si="1"/>
        <v>41.16422912</v>
      </c>
      <c r="F376" s="7">
        <f t="shared" si="2"/>
        <v>-0.02046068667</v>
      </c>
      <c r="G376" s="5">
        <f t="shared" si="3"/>
        <v>-0.842248394</v>
      </c>
      <c r="H376" s="7">
        <f t="shared" si="4"/>
        <v>-0.02046068667</v>
      </c>
      <c r="I376" s="2" t="str">
        <f t="shared" si="5"/>
        <v>2015-01</v>
      </c>
      <c r="J376" s="2">
        <f t="shared" si="6"/>
        <v>2015</v>
      </c>
      <c r="K376" s="2">
        <f t="shared" si="7"/>
        <v>5</v>
      </c>
      <c r="L376" s="2" t="str">
        <f t="shared" si="8"/>
        <v>Thu</v>
      </c>
    </row>
    <row r="377" ht="15.0" customHeight="1">
      <c r="A377" s="4">
        <v>42013.0</v>
      </c>
      <c r="B377" s="2">
        <v>123859.39</v>
      </c>
      <c r="C377" s="2">
        <v>126444.14</v>
      </c>
      <c r="D377" s="2">
        <v>3008.0</v>
      </c>
      <c r="E377" s="5">
        <f t="shared" si="1"/>
        <v>41.17665891</v>
      </c>
      <c r="F377" s="7">
        <f t="shared" si="2"/>
        <v>-0.02086842185</v>
      </c>
      <c r="G377" s="5">
        <f t="shared" si="3"/>
        <v>-0.8592918883</v>
      </c>
      <c r="H377" s="7">
        <f t="shared" si="4"/>
        <v>-0.02086842185</v>
      </c>
      <c r="I377" s="2" t="str">
        <f t="shared" si="5"/>
        <v>2015-01</v>
      </c>
      <c r="J377" s="2">
        <f t="shared" si="6"/>
        <v>2015</v>
      </c>
      <c r="K377" s="2">
        <f t="shared" si="7"/>
        <v>6</v>
      </c>
      <c r="L377" s="2" t="str">
        <f t="shared" si="8"/>
        <v>Fri</v>
      </c>
    </row>
    <row r="378" ht="15.0" customHeight="1">
      <c r="A378" s="4">
        <v>42014.0</v>
      </c>
      <c r="B378" s="2">
        <v>120807.57</v>
      </c>
      <c r="C378" s="2">
        <v>123392.8</v>
      </c>
      <c r="D378" s="2">
        <v>2934.0</v>
      </c>
      <c r="E378" s="5">
        <f t="shared" si="1"/>
        <v>41.1750409</v>
      </c>
      <c r="F378" s="7">
        <f t="shared" si="2"/>
        <v>-0.02139956958</v>
      </c>
      <c r="G378" s="5">
        <f t="shared" si="3"/>
        <v>-0.8811281527</v>
      </c>
      <c r="H378" s="7">
        <f t="shared" si="4"/>
        <v>-0.02139956958</v>
      </c>
      <c r="I378" s="2" t="str">
        <f t="shared" si="5"/>
        <v>2015-01</v>
      </c>
      <c r="J378" s="2">
        <f t="shared" si="6"/>
        <v>2015</v>
      </c>
      <c r="K378" s="2">
        <f t="shared" si="7"/>
        <v>7</v>
      </c>
      <c r="L378" s="2" t="str">
        <f t="shared" si="8"/>
        <v>Sat</v>
      </c>
    </row>
    <row r="379" ht="15.0" customHeight="1">
      <c r="A379" s="4">
        <v>42015.0</v>
      </c>
      <c r="B379" s="2">
        <v>69597.37</v>
      </c>
      <c r="C379" s="2">
        <v>71051.36</v>
      </c>
      <c r="D379" s="2">
        <v>1690.0</v>
      </c>
      <c r="E379" s="5">
        <f t="shared" si="1"/>
        <v>41.18187574</v>
      </c>
      <c r="F379" s="7">
        <f t="shared" si="2"/>
        <v>-0.02089145035</v>
      </c>
      <c r="G379" s="5">
        <f t="shared" si="3"/>
        <v>-0.8603491124</v>
      </c>
      <c r="H379" s="7">
        <f t="shared" si="4"/>
        <v>-0.02089145035</v>
      </c>
      <c r="I379" s="2" t="str">
        <f t="shared" si="5"/>
        <v>2015-01</v>
      </c>
      <c r="J379" s="2">
        <f t="shared" si="6"/>
        <v>2015</v>
      </c>
      <c r="K379" s="2">
        <f t="shared" si="7"/>
        <v>1</v>
      </c>
      <c r="L379" s="2" t="str">
        <f t="shared" si="8"/>
        <v>Sun</v>
      </c>
    </row>
    <row r="380" ht="15.0" customHeight="1">
      <c r="A380" s="4">
        <v>42016.0</v>
      </c>
      <c r="B380" s="2">
        <v>84738.29</v>
      </c>
      <c r="C380" s="2">
        <v>86467.54</v>
      </c>
      <c r="D380" s="2">
        <v>2058.0</v>
      </c>
      <c r="E380" s="5">
        <f t="shared" si="1"/>
        <v>41.17506803</v>
      </c>
      <c r="F380" s="7">
        <f t="shared" si="2"/>
        <v>-0.02040694944</v>
      </c>
      <c r="G380" s="5">
        <f t="shared" si="3"/>
        <v>-0.8402575316</v>
      </c>
      <c r="H380" s="7">
        <f t="shared" si="4"/>
        <v>-0.02040694944</v>
      </c>
      <c r="I380" s="2" t="str">
        <f t="shared" si="5"/>
        <v>2015-01</v>
      </c>
      <c r="J380" s="2">
        <f t="shared" si="6"/>
        <v>2015</v>
      </c>
      <c r="K380" s="2">
        <f t="shared" si="7"/>
        <v>2</v>
      </c>
      <c r="L380" s="2" t="str">
        <f t="shared" si="8"/>
        <v>Mon</v>
      </c>
    </row>
    <row r="381" ht="15.0" customHeight="1">
      <c r="A381" s="4">
        <v>42017.0</v>
      </c>
      <c r="B381" s="2">
        <v>64653.97</v>
      </c>
      <c r="C381" s="2">
        <v>65980.42</v>
      </c>
      <c r="D381" s="2">
        <v>1570.0</v>
      </c>
      <c r="E381" s="5">
        <f t="shared" si="1"/>
        <v>41.18087261</v>
      </c>
      <c r="F381" s="7">
        <f t="shared" si="2"/>
        <v>-0.02051614155</v>
      </c>
      <c r="G381" s="5">
        <f t="shared" si="3"/>
        <v>-0.8448726115</v>
      </c>
      <c r="H381" s="7">
        <f t="shared" si="4"/>
        <v>-0.02051614155</v>
      </c>
      <c r="I381" s="2" t="str">
        <f t="shared" si="5"/>
        <v>2015-01</v>
      </c>
      <c r="J381" s="2">
        <f t="shared" si="6"/>
        <v>2015</v>
      </c>
      <c r="K381" s="2">
        <f t="shared" si="7"/>
        <v>3</v>
      </c>
      <c r="L381" s="2" t="str">
        <f t="shared" si="8"/>
        <v>Tue</v>
      </c>
    </row>
    <row r="382" ht="15.0" customHeight="1">
      <c r="A382" s="4">
        <v>42018.0</v>
      </c>
      <c r="B382" s="2">
        <v>59553.39</v>
      </c>
      <c r="C382" s="2">
        <v>60703.36</v>
      </c>
      <c r="D382" s="2">
        <v>1446.0</v>
      </c>
      <c r="E382" s="5">
        <f t="shared" si="1"/>
        <v>41.18491701</v>
      </c>
      <c r="F382" s="7">
        <f t="shared" si="2"/>
        <v>-0.01930989991</v>
      </c>
      <c r="G382" s="5">
        <f t="shared" si="3"/>
        <v>-0.7952766252</v>
      </c>
      <c r="H382" s="7">
        <f t="shared" si="4"/>
        <v>-0.01930989991</v>
      </c>
      <c r="I382" s="2" t="str">
        <f t="shared" si="5"/>
        <v>2015-01</v>
      </c>
      <c r="J382" s="2">
        <f t="shared" si="6"/>
        <v>2015</v>
      </c>
      <c r="K382" s="2">
        <f t="shared" si="7"/>
        <v>4</v>
      </c>
      <c r="L382" s="2" t="str">
        <f t="shared" si="8"/>
        <v>Wed</v>
      </c>
    </row>
    <row r="383" ht="15.0" customHeight="1">
      <c r="A383" s="4">
        <v>42019.0</v>
      </c>
      <c r="B383" s="2">
        <v>79080.76</v>
      </c>
      <c r="C383" s="2">
        <v>80337.75</v>
      </c>
      <c r="D383" s="2">
        <v>1921.0</v>
      </c>
      <c r="E383" s="5">
        <f t="shared" si="1"/>
        <v>41.16645497</v>
      </c>
      <c r="F383" s="7">
        <f t="shared" si="2"/>
        <v>-0.01589501669</v>
      </c>
      <c r="G383" s="5">
        <f t="shared" si="3"/>
        <v>-0.6543414888</v>
      </c>
      <c r="H383" s="7">
        <f t="shared" si="4"/>
        <v>-0.01589501669</v>
      </c>
      <c r="I383" s="2" t="str">
        <f t="shared" si="5"/>
        <v>2015-01</v>
      </c>
      <c r="J383" s="2">
        <f t="shared" si="6"/>
        <v>2015</v>
      </c>
      <c r="K383" s="2">
        <f t="shared" si="7"/>
        <v>5</v>
      </c>
      <c r="L383" s="2" t="str">
        <f t="shared" si="8"/>
        <v>Thu</v>
      </c>
    </row>
    <row r="384" ht="15.0" customHeight="1">
      <c r="A384" s="4">
        <v>42020.0</v>
      </c>
      <c r="B384" s="2">
        <v>149444.06</v>
      </c>
      <c r="C384" s="2">
        <v>152030.99</v>
      </c>
      <c r="D384" s="2">
        <v>3629.0</v>
      </c>
      <c r="E384" s="5">
        <f t="shared" si="1"/>
        <v>41.18050703</v>
      </c>
      <c r="F384" s="7">
        <f t="shared" si="2"/>
        <v>-0.0173103568</v>
      </c>
      <c r="G384" s="5">
        <f t="shared" si="3"/>
        <v>-0.7128492698</v>
      </c>
      <c r="H384" s="7">
        <f t="shared" si="4"/>
        <v>-0.0173103568</v>
      </c>
      <c r="I384" s="2" t="str">
        <f t="shared" si="5"/>
        <v>2015-01</v>
      </c>
      <c r="J384" s="2">
        <f t="shared" si="6"/>
        <v>2015</v>
      </c>
      <c r="K384" s="2">
        <f t="shared" si="7"/>
        <v>6</v>
      </c>
      <c r="L384" s="2" t="str">
        <f t="shared" si="8"/>
        <v>Fri</v>
      </c>
    </row>
    <row r="385" ht="15.0" customHeight="1">
      <c r="A385" s="4">
        <v>42021.0</v>
      </c>
      <c r="B385" s="2">
        <v>170624.08</v>
      </c>
      <c r="C385" s="2">
        <v>173547.03</v>
      </c>
      <c r="D385" s="2">
        <v>4144.0</v>
      </c>
      <c r="E385" s="5">
        <f t="shared" si="1"/>
        <v>41.17376448</v>
      </c>
      <c r="F385" s="7">
        <f t="shared" si="2"/>
        <v>-0.01713093486</v>
      </c>
      <c r="G385" s="5">
        <f t="shared" si="3"/>
        <v>-0.7053450772</v>
      </c>
      <c r="H385" s="7">
        <f t="shared" si="4"/>
        <v>-0.01713093486</v>
      </c>
      <c r="I385" s="2" t="str">
        <f t="shared" si="5"/>
        <v>2015-01</v>
      </c>
      <c r="J385" s="2">
        <f t="shared" si="6"/>
        <v>2015</v>
      </c>
      <c r="K385" s="2">
        <f t="shared" si="7"/>
        <v>7</v>
      </c>
      <c r="L385" s="2" t="str">
        <f t="shared" si="8"/>
        <v>Sat</v>
      </c>
    </row>
    <row r="386" ht="15.0" customHeight="1">
      <c r="A386" s="4">
        <v>42022.0</v>
      </c>
      <c r="B386" s="2">
        <v>74744.28</v>
      </c>
      <c r="C386" s="2">
        <v>76003.93</v>
      </c>
      <c r="D386" s="2">
        <v>1815.0</v>
      </c>
      <c r="E386" s="5">
        <f t="shared" si="1"/>
        <v>41.18142149</v>
      </c>
      <c r="F386" s="7">
        <f t="shared" si="2"/>
        <v>-0.01685279462</v>
      </c>
      <c r="G386" s="5">
        <f t="shared" si="3"/>
        <v>-0.6940220386</v>
      </c>
      <c r="H386" s="7">
        <f t="shared" si="4"/>
        <v>-0.01685279462</v>
      </c>
      <c r="I386" s="2" t="str">
        <f t="shared" si="5"/>
        <v>2015-01</v>
      </c>
      <c r="J386" s="2">
        <f t="shared" si="6"/>
        <v>2015</v>
      </c>
      <c r="K386" s="2">
        <f t="shared" si="7"/>
        <v>1</v>
      </c>
      <c r="L386" s="2" t="str">
        <f t="shared" si="8"/>
        <v>Sun</v>
      </c>
    </row>
    <row r="387" ht="15.0" customHeight="1">
      <c r="A387" s="4">
        <v>42023.0</v>
      </c>
      <c r="B387" s="2">
        <v>90144.16</v>
      </c>
      <c r="C387" s="2">
        <v>91110.97</v>
      </c>
      <c r="D387" s="2">
        <v>2189.0</v>
      </c>
      <c r="E387" s="5">
        <f t="shared" si="1"/>
        <v>41.18052079</v>
      </c>
      <c r="F387" s="7">
        <f t="shared" si="2"/>
        <v>-0.01072515402</v>
      </c>
      <c r="G387" s="5">
        <f t="shared" si="3"/>
        <v>-0.441667428</v>
      </c>
      <c r="H387" s="7">
        <f t="shared" si="4"/>
        <v>-0.01072515402</v>
      </c>
      <c r="I387" s="2" t="str">
        <f t="shared" si="5"/>
        <v>2015-01</v>
      </c>
      <c r="J387" s="2">
        <f t="shared" si="6"/>
        <v>2015</v>
      </c>
      <c r="K387" s="2">
        <f t="shared" si="7"/>
        <v>2</v>
      </c>
      <c r="L387" s="2" t="str">
        <f t="shared" si="8"/>
        <v>Mon</v>
      </c>
    </row>
    <row r="388" ht="15.0" customHeight="1">
      <c r="A388" s="4">
        <v>42024.0</v>
      </c>
      <c r="B388" s="2">
        <v>97826.81</v>
      </c>
      <c r="C388" s="2">
        <v>99134.31</v>
      </c>
      <c r="D388" s="2">
        <v>2376.0</v>
      </c>
      <c r="E388" s="5">
        <f t="shared" si="1"/>
        <v>41.17289983</v>
      </c>
      <c r="F388" s="7">
        <f t="shared" si="2"/>
        <v>-0.01336545677</v>
      </c>
      <c r="G388" s="5">
        <f t="shared" si="3"/>
        <v>-0.5502946128</v>
      </c>
      <c r="H388" s="7">
        <f t="shared" si="4"/>
        <v>-0.01336545677</v>
      </c>
      <c r="I388" s="2" t="str">
        <f t="shared" si="5"/>
        <v>2015-01</v>
      </c>
      <c r="J388" s="2">
        <f t="shared" si="6"/>
        <v>2015</v>
      </c>
      <c r="K388" s="2">
        <f t="shared" si="7"/>
        <v>3</v>
      </c>
      <c r="L388" s="2" t="str">
        <f t="shared" si="8"/>
        <v>Tue</v>
      </c>
    </row>
    <row r="389" ht="15.0" customHeight="1">
      <c r="A389" s="4">
        <v>42025.0</v>
      </c>
      <c r="B389" s="2">
        <v>62795.98</v>
      </c>
      <c r="C389" s="2">
        <v>64144.09</v>
      </c>
      <c r="D389" s="2">
        <v>1525.0</v>
      </c>
      <c r="E389" s="5">
        <f t="shared" si="1"/>
        <v>41.1776918</v>
      </c>
      <c r="F389" s="7">
        <f t="shared" si="2"/>
        <v>-0.02146809398</v>
      </c>
      <c r="G389" s="5">
        <f t="shared" si="3"/>
        <v>-0.8840065574</v>
      </c>
      <c r="H389" s="7">
        <f t="shared" si="4"/>
        <v>-0.02146809398</v>
      </c>
      <c r="I389" s="2" t="str">
        <f t="shared" si="5"/>
        <v>2015-01</v>
      </c>
      <c r="J389" s="2">
        <f t="shared" si="6"/>
        <v>2015</v>
      </c>
      <c r="K389" s="2">
        <f t="shared" si="7"/>
        <v>4</v>
      </c>
      <c r="L389" s="2" t="str">
        <f t="shared" si="8"/>
        <v>Wed</v>
      </c>
    </row>
    <row r="390" ht="15.0" customHeight="1">
      <c r="A390" s="4">
        <v>42026.0</v>
      </c>
      <c r="B390" s="2">
        <v>66550.99</v>
      </c>
      <c r="C390" s="2">
        <v>67952.15</v>
      </c>
      <c r="D390" s="2">
        <v>1616.0</v>
      </c>
      <c r="E390" s="5">
        <f t="shared" si="1"/>
        <v>41.18254332</v>
      </c>
      <c r="F390" s="7">
        <f t="shared" si="2"/>
        <v>-0.02105393173</v>
      </c>
      <c r="G390" s="5">
        <f t="shared" si="3"/>
        <v>-0.8670544554</v>
      </c>
      <c r="H390" s="7">
        <f t="shared" si="4"/>
        <v>-0.02105393173</v>
      </c>
      <c r="I390" s="2" t="str">
        <f t="shared" si="5"/>
        <v>2015-01</v>
      </c>
      <c r="J390" s="2">
        <f t="shared" si="6"/>
        <v>2015</v>
      </c>
      <c r="K390" s="2">
        <f t="shared" si="7"/>
        <v>5</v>
      </c>
      <c r="L390" s="2" t="str">
        <f t="shared" si="8"/>
        <v>Thu</v>
      </c>
    </row>
    <row r="391" ht="15.0" customHeight="1">
      <c r="A391" s="4">
        <v>42027.0</v>
      </c>
      <c r="B391" s="2">
        <v>154670.89</v>
      </c>
      <c r="C391" s="2">
        <v>158031.79</v>
      </c>
      <c r="D391" s="2">
        <v>3757.0</v>
      </c>
      <c r="E391" s="5">
        <f t="shared" si="1"/>
        <v>41.16872238</v>
      </c>
      <c r="F391" s="7">
        <f t="shared" si="2"/>
        <v>-0.02172936355</v>
      </c>
      <c r="G391" s="5">
        <f t="shared" si="3"/>
        <v>-0.8945701357</v>
      </c>
      <c r="H391" s="7">
        <f t="shared" si="4"/>
        <v>-0.02172936355</v>
      </c>
      <c r="I391" s="2" t="str">
        <f t="shared" si="5"/>
        <v>2015-01</v>
      </c>
      <c r="J391" s="2">
        <f t="shared" si="6"/>
        <v>2015</v>
      </c>
      <c r="K391" s="2">
        <f t="shared" si="7"/>
        <v>6</v>
      </c>
      <c r="L391" s="2" t="str">
        <f t="shared" si="8"/>
        <v>Fri</v>
      </c>
    </row>
    <row r="392" ht="15.0" customHeight="1">
      <c r="A392" s="4">
        <v>42028.0</v>
      </c>
      <c r="B392" s="2">
        <v>158722.11</v>
      </c>
      <c r="C392" s="2">
        <v>162082.42</v>
      </c>
      <c r="D392" s="2">
        <v>3855.0</v>
      </c>
      <c r="E392" s="5">
        <f t="shared" si="1"/>
        <v>41.17305058</v>
      </c>
      <c r="F392" s="7">
        <f t="shared" si="2"/>
        <v>-0.02117102652</v>
      </c>
      <c r="G392" s="5">
        <f t="shared" si="3"/>
        <v>-0.8716757458</v>
      </c>
      <c r="H392" s="7">
        <f t="shared" si="4"/>
        <v>-0.02117102652</v>
      </c>
      <c r="I392" s="2" t="str">
        <f t="shared" si="5"/>
        <v>2015-01</v>
      </c>
      <c r="J392" s="2">
        <f t="shared" si="6"/>
        <v>2015</v>
      </c>
      <c r="K392" s="2">
        <f t="shared" si="7"/>
        <v>7</v>
      </c>
      <c r="L392" s="2" t="str">
        <f t="shared" si="8"/>
        <v>Sat</v>
      </c>
    </row>
    <row r="393" ht="15.0" customHeight="1">
      <c r="A393" s="4">
        <v>42029.0</v>
      </c>
      <c r="B393" s="2">
        <v>78092.28</v>
      </c>
      <c r="C393" s="2">
        <v>79795.04</v>
      </c>
      <c r="D393" s="2">
        <v>1897.0</v>
      </c>
      <c r="E393" s="5">
        <f t="shared" si="1"/>
        <v>41.16619926</v>
      </c>
      <c r="F393" s="7">
        <f t="shared" si="2"/>
        <v>-0.02180446006</v>
      </c>
      <c r="G393" s="5">
        <f t="shared" si="3"/>
        <v>-0.8976067475</v>
      </c>
      <c r="H393" s="7">
        <f t="shared" si="4"/>
        <v>-0.02180446006</v>
      </c>
      <c r="I393" s="2" t="str">
        <f t="shared" si="5"/>
        <v>2015-01</v>
      </c>
      <c r="J393" s="2">
        <f t="shared" si="6"/>
        <v>2015</v>
      </c>
      <c r="K393" s="2">
        <f t="shared" si="7"/>
        <v>1</v>
      </c>
      <c r="L393" s="2" t="str">
        <f t="shared" si="8"/>
        <v>Sun</v>
      </c>
    </row>
    <row r="394" ht="15.0" customHeight="1">
      <c r="A394" s="4">
        <v>42030.0</v>
      </c>
      <c r="B394" s="2">
        <v>91830.4</v>
      </c>
      <c r="C394" s="2">
        <v>93808.09</v>
      </c>
      <c r="D394" s="2">
        <v>2230.0</v>
      </c>
      <c r="E394" s="5">
        <f t="shared" si="1"/>
        <v>41.17955157</v>
      </c>
      <c r="F394" s="7">
        <f t="shared" si="2"/>
        <v>-0.0215363322</v>
      </c>
      <c r="G394" s="5">
        <f t="shared" si="3"/>
        <v>-0.8868565022</v>
      </c>
      <c r="H394" s="7">
        <f t="shared" si="4"/>
        <v>-0.0215363322</v>
      </c>
      <c r="I394" s="2" t="str">
        <f t="shared" si="5"/>
        <v>2015-01</v>
      </c>
      <c r="J394" s="2">
        <f t="shared" si="6"/>
        <v>2015</v>
      </c>
      <c r="K394" s="2">
        <f t="shared" si="7"/>
        <v>2</v>
      </c>
      <c r="L394" s="2" t="str">
        <f t="shared" si="8"/>
        <v>Mon</v>
      </c>
    </row>
    <row r="395" ht="15.0" customHeight="1">
      <c r="A395" s="4">
        <v>42031.0</v>
      </c>
      <c r="B395" s="2">
        <v>76992.94</v>
      </c>
      <c r="C395" s="2">
        <v>78614.46</v>
      </c>
      <c r="D395" s="2">
        <v>1870.0</v>
      </c>
      <c r="E395" s="5">
        <f t="shared" si="1"/>
        <v>41.17269519</v>
      </c>
      <c r="F395" s="7">
        <f t="shared" si="2"/>
        <v>-0.02106063231</v>
      </c>
      <c r="G395" s="5">
        <f t="shared" si="3"/>
        <v>-0.8671229947</v>
      </c>
      <c r="H395" s="7">
        <f t="shared" si="4"/>
        <v>-0.02106063231</v>
      </c>
      <c r="I395" s="2" t="str">
        <f t="shared" si="5"/>
        <v>2015-01</v>
      </c>
      <c r="J395" s="2">
        <f t="shared" si="6"/>
        <v>2015</v>
      </c>
      <c r="K395" s="2">
        <f t="shared" si="7"/>
        <v>3</v>
      </c>
      <c r="L395" s="2" t="str">
        <f t="shared" si="8"/>
        <v>Tue</v>
      </c>
    </row>
    <row r="396" ht="15.0" customHeight="1">
      <c r="A396" s="4">
        <v>42032.0</v>
      </c>
      <c r="B396" s="2">
        <v>59897.72</v>
      </c>
      <c r="C396" s="2">
        <v>61194.18</v>
      </c>
      <c r="D396" s="2">
        <v>1455.0</v>
      </c>
      <c r="E396" s="5">
        <f t="shared" si="1"/>
        <v>41.16681787</v>
      </c>
      <c r="F396" s="7">
        <f t="shared" si="2"/>
        <v>-0.02164456343</v>
      </c>
      <c r="G396" s="5">
        <f t="shared" si="3"/>
        <v>-0.8910378007</v>
      </c>
      <c r="H396" s="7">
        <f t="shared" si="4"/>
        <v>-0.02164456343</v>
      </c>
      <c r="I396" s="2" t="str">
        <f t="shared" si="5"/>
        <v>2015-01</v>
      </c>
      <c r="J396" s="2">
        <f t="shared" si="6"/>
        <v>2015</v>
      </c>
      <c r="K396" s="2">
        <f t="shared" si="7"/>
        <v>4</v>
      </c>
      <c r="L396" s="2" t="str">
        <f t="shared" si="8"/>
        <v>Wed</v>
      </c>
    </row>
    <row r="397" ht="15.0" customHeight="1">
      <c r="A397" s="4">
        <v>42033.0</v>
      </c>
      <c r="B397" s="2">
        <v>57310.19</v>
      </c>
      <c r="C397" s="2">
        <v>58531.41</v>
      </c>
      <c r="D397" s="2">
        <v>1392.0</v>
      </c>
      <c r="E397" s="5">
        <f t="shared" si="1"/>
        <v>41.17111351</v>
      </c>
      <c r="F397" s="7">
        <f t="shared" si="2"/>
        <v>-0.02130895047</v>
      </c>
      <c r="G397" s="5">
        <f t="shared" si="3"/>
        <v>-0.8773132184</v>
      </c>
      <c r="H397" s="7">
        <f t="shared" si="4"/>
        <v>-0.02130895047</v>
      </c>
      <c r="I397" s="2" t="str">
        <f t="shared" si="5"/>
        <v>2015-01</v>
      </c>
      <c r="J397" s="2">
        <f t="shared" si="6"/>
        <v>2015</v>
      </c>
      <c r="K397" s="2">
        <f t="shared" si="7"/>
        <v>5</v>
      </c>
      <c r="L397" s="2" t="str">
        <f t="shared" si="8"/>
        <v>Thu</v>
      </c>
    </row>
    <row r="398" ht="15.0" customHeight="1">
      <c r="A398" s="4">
        <v>42034.0</v>
      </c>
      <c r="B398" s="2">
        <v>134540.21</v>
      </c>
      <c r="C398" s="2">
        <v>137221.54</v>
      </c>
      <c r="D398" s="2">
        <v>3268.0</v>
      </c>
      <c r="E398" s="5">
        <f t="shared" si="1"/>
        <v>41.16897491</v>
      </c>
      <c r="F398" s="7">
        <f t="shared" si="2"/>
        <v>-0.0199295809</v>
      </c>
      <c r="G398" s="5">
        <f t="shared" si="3"/>
        <v>-0.8204804162</v>
      </c>
      <c r="H398" s="7">
        <f t="shared" si="4"/>
        <v>-0.0199295809</v>
      </c>
      <c r="I398" s="2" t="str">
        <f t="shared" si="5"/>
        <v>2015-01</v>
      </c>
      <c r="J398" s="2">
        <f t="shared" si="6"/>
        <v>2015</v>
      </c>
      <c r="K398" s="2">
        <f t="shared" si="7"/>
        <v>6</v>
      </c>
      <c r="L398" s="2" t="str">
        <f t="shared" si="8"/>
        <v>Fri</v>
      </c>
    </row>
    <row r="399" ht="15.0" customHeight="1">
      <c r="A399" s="4">
        <v>42035.0</v>
      </c>
      <c r="B399" s="2">
        <v>200193.61</v>
      </c>
      <c r="C399" s="2">
        <v>203814.74</v>
      </c>
      <c r="D399" s="2">
        <v>4862.0</v>
      </c>
      <c r="E399" s="5">
        <f t="shared" si="1"/>
        <v>41.17515631</v>
      </c>
      <c r="F399" s="7">
        <f t="shared" si="2"/>
        <v>-0.01808813978</v>
      </c>
      <c r="G399" s="5">
        <f t="shared" si="3"/>
        <v>-0.7447819827</v>
      </c>
      <c r="H399" s="7">
        <f t="shared" si="4"/>
        <v>-0.01808813978</v>
      </c>
      <c r="I399" s="2" t="str">
        <f t="shared" si="5"/>
        <v>2015-01</v>
      </c>
      <c r="J399" s="2">
        <f t="shared" si="6"/>
        <v>2015</v>
      </c>
      <c r="K399" s="2">
        <f t="shared" si="7"/>
        <v>7</v>
      </c>
      <c r="L399" s="2" t="str">
        <f t="shared" si="8"/>
        <v>Sat</v>
      </c>
    </row>
    <row r="400" ht="15.0" customHeight="1">
      <c r="A400" s="4">
        <v>42036.0</v>
      </c>
      <c r="B400" s="2">
        <v>171469.93</v>
      </c>
      <c r="C400" s="2">
        <v>174652.46</v>
      </c>
      <c r="D400" s="2">
        <v>4165.0</v>
      </c>
      <c r="E400" s="5">
        <f t="shared" si="1"/>
        <v>41.1692509</v>
      </c>
      <c r="F400" s="7">
        <f t="shared" si="2"/>
        <v>-0.01856028051</v>
      </c>
      <c r="G400" s="5">
        <f t="shared" si="3"/>
        <v>-0.7641128451</v>
      </c>
      <c r="H400" s="7">
        <f t="shared" si="4"/>
        <v>-0.01856028051</v>
      </c>
      <c r="I400" s="2" t="str">
        <f t="shared" si="5"/>
        <v>2015-02</v>
      </c>
      <c r="J400" s="2">
        <f t="shared" si="6"/>
        <v>2015</v>
      </c>
      <c r="K400" s="2">
        <f t="shared" si="7"/>
        <v>1</v>
      </c>
      <c r="L400" s="2" t="str">
        <f t="shared" si="8"/>
        <v>Sun</v>
      </c>
    </row>
    <row r="401" ht="15.0" customHeight="1">
      <c r="A401" s="4">
        <v>42037.0</v>
      </c>
      <c r="B401" s="2">
        <v>151737.22</v>
      </c>
      <c r="C401" s="2">
        <v>154148.6</v>
      </c>
      <c r="D401" s="2">
        <v>3685.0</v>
      </c>
      <c r="E401" s="5">
        <f t="shared" si="1"/>
        <v>41.17699322</v>
      </c>
      <c r="F401" s="7">
        <f t="shared" si="2"/>
        <v>-0.01589181613</v>
      </c>
      <c r="G401" s="5">
        <f t="shared" si="3"/>
        <v>-0.6543772049</v>
      </c>
      <c r="H401" s="7">
        <f t="shared" si="4"/>
        <v>-0.01589181613</v>
      </c>
      <c r="I401" s="2" t="str">
        <f t="shared" si="5"/>
        <v>2015-02</v>
      </c>
      <c r="J401" s="2">
        <f t="shared" si="6"/>
        <v>2015</v>
      </c>
      <c r="K401" s="2">
        <f t="shared" si="7"/>
        <v>2</v>
      </c>
      <c r="L401" s="2" t="str">
        <f t="shared" si="8"/>
        <v>Mon</v>
      </c>
    </row>
    <row r="402" ht="15.0" customHeight="1">
      <c r="A402" s="4">
        <v>42038.0</v>
      </c>
      <c r="B402" s="2">
        <v>102072.44</v>
      </c>
      <c r="C402" s="2">
        <v>103634.96</v>
      </c>
      <c r="D402" s="2">
        <v>2479.0</v>
      </c>
      <c r="E402" s="5">
        <f t="shared" si="1"/>
        <v>41.1748447</v>
      </c>
      <c r="F402" s="7">
        <f t="shared" si="2"/>
        <v>-0.01530795188</v>
      </c>
      <c r="G402" s="5">
        <f t="shared" si="3"/>
        <v>-0.6303025413</v>
      </c>
      <c r="H402" s="7">
        <f t="shared" si="4"/>
        <v>-0.01530795188</v>
      </c>
      <c r="I402" s="2" t="str">
        <f t="shared" si="5"/>
        <v>2015-02</v>
      </c>
      <c r="J402" s="2">
        <f t="shared" si="6"/>
        <v>2015</v>
      </c>
      <c r="K402" s="2">
        <f t="shared" si="7"/>
        <v>3</v>
      </c>
      <c r="L402" s="2" t="str">
        <f t="shared" si="8"/>
        <v>Tue</v>
      </c>
    </row>
    <row r="403" ht="15.0" customHeight="1">
      <c r="A403" s="4">
        <v>42039.0</v>
      </c>
      <c r="B403" s="2">
        <v>82514.11</v>
      </c>
      <c r="C403" s="2">
        <v>83232.39</v>
      </c>
      <c r="D403" s="2">
        <v>2005.0</v>
      </c>
      <c r="E403" s="5">
        <f t="shared" si="1"/>
        <v>41.15416958</v>
      </c>
      <c r="F403" s="7">
        <f t="shared" si="2"/>
        <v>-0.008704935435</v>
      </c>
      <c r="G403" s="5">
        <f t="shared" si="3"/>
        <v>-0.358244389</v>
      </c>
      <c r="H403" s="7">
        <f t="shared" si="4"/>
        <v>-0.008704935435</v>
      </c>
      <c r="I403" s="2" t="str">
        <f t="shared" si="5"/>
        <v>2015-02</v>
      </c>
      <c r="J403" s="2">
        <f t="shared" si="6"/>
        <v>2015</v>
      </c>
      <c r="K403" s="2">
        <f t="shared" si="7"/>
        <v>4</v>
      </c>
      <c r="L403" s="2" t="str">
        <f t="shared" si="8"/>
        <v>Wed</v>
      </c>
    </row>
    <row r="404" ht="15.0" customHeight="1">
      <c r="A404" s="4">
        <v>42040.0</v>
      </c>
      <c r="B404" s="2">
        <v>46211.33</v>
      </c>
      <c r="C404" s="2">
        <v>46407.3</v>
      </c>
      <c r="D404" s="2">
        <v>1122.0</v>
      </c>
      <c r="E404" s="5">
        <f t="shared" si="1"/>
        <v>41.18656863</v>
      </c>
      <c r="F404" s="7">
        <f t="shared" si="2"/>
        <v>-0.004240734902</v>
      </c>
      <c r="G404" s="5">
        <f t="shared" si="3"/>
        <v>-0.1746613191</v>
      </c>
      <c r="H404" s="7">
        <f t="shared" si="4"/>
        <v>-0.004240734902</v>
      </c>
      <c r="I404" s="2" t="str">
        <f t="shared" si="5"/>
        <v>2015-02</v>
      </c>
      <c r="J404" s="2">
        <f t="shared" si="6"/>
        <v>2015</v>
      </c>
      <c r="K404" s="2">
        <f t="shared" si="7"/>
        <v>5</v>
      </c>
      <c r="L404" s="2" t="str">
        <f t="shared" si="8"/>
        <v>Thu</v>
      </c>
    </row>
    <row r="405" ht="15.0" customHeight="1">
      <c r="A405" s="4">
        <v>42041.0</v>
      </c>
      <c r="B405" s="2">
        <v>85730.41</v>
      </c>
      <c r="C405" s="2">
        <v>85765.71</v>
      </c>
      <c r="D405" s="2">
        <v>2082.0</v>
      </c>
      <c r="E405" s="5">
        <f t="shared" si="1"/>
        <v>41.17695005</v>
      </c>
      <c r="F405" s="7">
        <f t="shared" si="2"/>
        <v>-0.0004117558752</v>
      </c>
      <c r="G405" s="5">
        <f t="shared" si="3"/>
        <v>-0.0169548511</v>
      </c>
      <c r="H405" s="7">
        <f t="shared" si="4"/>
        <v>-0.0004117558752</v>
      </c>
      <c r="I405" s="2" t="str">
        <f t="shared" si="5"/>
        <v>2015-02</v>
      </c>
      <c r="J405" s="2">
        <f t="shared" si="6"/>
        <v>2015</v>
      </c>
      <c r="K405" s="2">
        <f t="shared" si="7"/>
        <v>6</v>
      </c>
      <c r="L405" s="2" t="str">
        <f t="shared" si="8"/>
        <v>Fri</v>
      </c>
    </row>
    <row r="406" ht="15.0" customHeight="1">
      <c r="A406" s="4">
        <v>42042.0</v>
      </c>
      <c r="B406" s="2">
        <v>105918.29</v>
      </c>
      <c r="C406" s="2">
        <v>105662.56</v>
      </c>
      <c r="D406" s="2">
        <v>2573.0</v>
      </c>
      <c r="E406" s="5">
        <f t="shared" si="1"/>
        <v>41.16528955</v>
      </c>
      <c r="F406" s="7">
        <f t="shared" si="2"/>
        <v>0.002414408314</v>
      </c>
      <c r="G406" s="5">
        <f t="shared" si="3"/>
        <v>0.09938981733</v>
      </c>
      <c r="H406" s="7">
        <f t="shared" si="4"/>
        <v>0.002414408314</v>
      </c>
      <c r="I406" s="2" t="str">
        <f t="shared" si="5"/>
        <v>2015-02</v>
      </c>
      <c r="J406" s="2">
        <f t="shared" si="6"/>
        <v>2015</v>
      </c>
      <c r="K406" s="2">
        <f t="shared" si="7"/>
        <v>7</v>
      </c>
      <c r="L406" s="2" t="str">
        <f t="shared" si="8"/>
        <v>Sat</v>
      </c>
    </row>
    <row r="407" ht="15.0" customHeight="1">
      <c r="A407" s="4">
        <v>42043.0</v>
      </c>
      <c r="B407" s="2">
        <v>73041.66</v>
      </c>
      <c r="C407" s="2">
        <v>73046.23</v>
      </c>
      <c r="D407" s="2">
        <v>1774.0</v>
      </c>
      <c r="E407" s="5">
        <f t="shared" si="1"/>
        <v>41.17342728</v>
      </c>
      <c r="F407" s="7">
        <f t="shared" si="2"/>
        <v>-0.00006256703366</v>
      </c>
      <c r="G407" s="5">
        <f t="shared" si="3"/>
        <v>-0.002576099211</v>
      </c>
      <c r="H407" s="7">
        <f t="shared" si="4"/>
        <v>-0.00006256703366</v>
      </c>
      <c r="I407" s="2" t="str">
        <f t="shared" si="5"/>
        <v>2015-02</v>
      </c>
      <c r="J407" s="2">
        <f t="shared" si="6"/>
        <v>2015</v>
      </c>
      <c r="K407" s="2">
        <f t="shared" si="7"/>
        <v>1</v>
      </c>
      <c r="L407" s="2" t="str">
        <f t="shared" si="8"/>
        <v>Sun</v>
      </c>
    </row>
    <row r="408" ht="15.0" customHeight="1">
      <c r="A408" s="4">
        <v>42044.0</v>
      </c>
      <c r="B408" s="2">
        <v>97908.55</v>
      </c>
      <c r="C408" s="2">
        <v>97097.94</v>
      </c>
      <c r="D408" s="2">
        <v>2378.0</v>
      </c>
      <c r="E408" s="5">
        <f t="shared" si="1"/>
        <v>41.17264508</v>
      </c>
      <c r="F408" s="7">
        <f t="shared" si="2"/>
        <v>0.00827925651</v>
      </c>
      <c r="G408" s="5">
        <f t="shared" si="3"/>
        <v>0.3408788898</v>
      </c>
      <c r="H408" s="7">
        <f t="shared" si="4"/>
        <v>0.00827925651</v>
      </c>
      <c r="I408" s="2" t="str">
        <f t="shared" si="5"/>
        <v>2015-02</v>
      </c>
      <c r="J408" s="2">
        <f t="shared" si="6"/>
        <v>2015</v>
      </c>
      <c r="K408" s="2">
        <f t="shared" si="7"/>
        <v>2</v>
      </c>
      <c r="L408" s="2" t="str">
        <f t="shared" si="8"/>
        <v>Mon</v>
      </c>
    </row>
    <row r="409" ht="15.0" customHeight="1">
      <c r="A409" s="4">
        <v>42045.0</v>
      </c>
      <c r="B409" s="2">
        <v>138667.42</v>
      </c>
      <c r="C409" s="2">
        <v>148522.85</v>
      </c>
      <c r="D409" s="2">
        <v>3677.0</v>
      </c>
      <c r="E409" s="5">
        <f t="shared" si="1"/>
        <v>37.7121077</v>
      </c>
      <c r="F409" s="7">
        <f t="shared" si="2"/>
        <v>-0.07107242639</v>
      </c>
      <c r="G409" s="5">
        <f t="shared" si="3"/>
        <v>-2.680290998</v>
      </c>
      <c r="H409" s="7">
        <f t="shared" si="4"/>
        <v>-0.07107242639</v>
      </c>
      <c r="I409" s="2" t="str">
        <f t="shared" si="5"/>
        <v>2015-02</v>
      </c>
      <c r="J409" s="2">
        <f t="shared" si="6"/>
        <v>2015</v>
      </c>
      <c r="K409" s="2">
        <f t="shared" si="7"/>
        <v>3</v>
      </c>
      <c r="L409" s="2" t="str">
        <f t="shared" si="8"/>
        <v>Tue</v>
      </c>
    </row>
    <row r="410" ht="15.0" customHeight="1">
      <c r="A410" s="4">
        <v>42046.0</v>
      </c>
      <c r="B410" s="2">
        <v>162162.1</v>
      </c>
      <c r="C410" s="2">
        <v>173661.83</v>
      </c>
      <c r="D410" s="2">
        <v>4299.0</v>
      </c>
      <c r="E410" s="5">
        <f t="shared" si="1"/>
        <v>37.72088858</v>
      </c>
      <c r="F410" s="7">
        <f t="shared" si="2"/>
        <v>-0.07091502885</v>
      </c>
      <c r="G410" s="5">
        <f t="shared" si="3"/>
        <v>-2.674977902</v>
      </c>
      <c r="H410" s="7">
        <f t="shared" si="4"/>
        <v>-0.07091502885</v>
      </c>
      <c r="I410" s="2" t="str">
        <f t="shared" si="5"/>
        <v>2015-02</v>
      </c>
      <c r="J410" s="2">
        <f t="shared" si="6"/>
        <v>2015</v>
      </c>
      <c r="K410" s="2">
        <f t="shared" si="7"/>
        <v>4</v>
      </c>
      <c r="L410" s="2" t="str">
        <f t="shared" si="8"/>
        <v>Wed</v>
      </c>
    </row>
    <row r="411" ht="15.0" customHeight="1">
      <c r="A411" s="4">
        <v>42047.0</v>
      </c>
      <c r="B411" s="2">
        <v>138520.13</v>
      </c>
      <c r="C411" s="2">
        <v>147756.34</v>
      </c>
      <c r="D411" s="2">
        <v>3674.0</v>
      </c>
      <c r="E411" s="5">
        <f t="shared" si="1"/>
        <v>37.70281165</v>
      </c>
      <c r="F411" s="7">
        <f t="shared" si="2"/>
        <v>-0.06667774568</v>
      </c>
      <c r="G411" s="5">
        <f t="shared" si="3"/>
        <v>-2.513938487</v>
      </c>
      <c r="H411" s="7">
        <f t="shared" si="4"/>
        <v>-0.06667774568</v>
      </c>
      <c r="I411" s="2" t="str">
        <f t="shared" si="5"/>
        <v>2015-02</v>
      </c>
      <c r="J411" s="2">
        <f t="shared" si="6"/>
        <v>2015</v>
      </c>
      <c r="K411" s="2">
        <f t="shared" si="7"/>
        <v>5</v>
      </c>
      <c r="L411" s="2" t="str">
        <f t="shared" si="8"/>
        <v>Thu</v>
      </c>
    </row>
    <row r="412" ht="15.0" customHeight="1">
      <c r="A412" s="4">
        <v>42048.0</v>
      </c>
      <c r="B412" s="2">
        <v>358597.43</v>
      </c>
      <c r="C412" s="2">
        <v>382447.08</v>
      </c>
      <c r="D412" s="2">
        <v>9505.0</v>
      </c>
      <c r="E412" s="5">
        <f t="shared" si="1"/>
        <v>37.72724145</v>
      </c>
      <c r="F412" s="7">
        <f t="shared" si="2"/>
        <v>-0.06650814536</v>
      </c>
      <c r="G412" s="5">
        <f t="shared" si="3"/>
        <v>-2.509168858</v>
      </c>
      <c r="H412" s="7">
        <f t="shared" si="4"/>
        <v>-0.06650814536</v>
      </c>
      <c r="I412" s="2" t="str">
        <f t="shared" si="5"/>
        <v>2015-02</v>
      </c>
      <c r="J412" s="2">
        <f t="shared" si="6"/>
        <v>2015</v>
      </c>
      <c r="K412" s="2">
        <f t="shared" si="7"/>
        <v>6</v>
      </c>
      <c r="L412" s="2" t="str">
        <f t="shared" si="8"/>
        <v>Fri</v>
      </c>
    </row>
    <row r="413" ht="15.0" customHeight="1">
      <c r="A413" s="4">
        <v>42049.0</v>
      </c>
      <c r="B413" s="2">
        <v>424009.88</v>
      </c>
      <c r="C413" s="2">
        <v>451548.03</v>
      </c>
      <c r="D413" s="2">
        <v>11237.0</v>
      </c>
      <c r="E413" s="5">
        <f t="shared" si="1"/>
        <v>37.73337012</v>
      </c>
      <c r="F413" s="7">
        <f t="shared" si="2"/>
        <v>-0.06494695359</v>
      </c>
      <c r="G413" s="5">
        <f t="shared" si="3"/>
        <v>-2.450667438</v>
      </c>
      <c r="H413" s="7">
        <f t="shared" si="4"/>
        <v>-0.06494695359</v>
      </c>
      <c r="I413" s="2" t="str">
        <f t="shared" si="5"/>
        <v>2015-02</v>
      </c>
      <c r="J413" s="2">
        <f t="shared" si="6"/>
        <v>2015</v>
      </c>
      <c r="K413" s="2">
        <f t="shared" si="7"/>
        <v>7</v>
      </c>
      <c r="L413" s="2" t="str">
        <f t="shared" si="8"/>
        <v>Sat</v>
      </c>
    </row>
    <row r="414" ht="15.0" customHeight="1">
      <c r="A414" s="4">
        <v>42050.0</v>
      </c>
      <c r="B414" s="2">
        <v>203861.47</v>
      </c>
      <c r="C414" s="2">
        <v>217065.62</v>
      </c>
      <c r="D414" s="2">
        <v>5406.0</v>
      </c>
      <c r="E414" s="5">
        <f t="shared" si="1"/>
        <v>37.71022383</v>
      </c>
      <c r="F414" s="7">
        <f t="shared" si="2"/>
        <v>-0.06477020891</v>
      </c>
      <c r="G414" s="5">
        <f t="shared" si="3"/>
        <v>-2.442499075</v>
      </c>
      <c r="H414" s="7">
        <f t="shared" si="4"/>
        <v>-0.06477020891</v>
      </c>
      <c r="I414" s="2" t="str">
        <f t="shared" si="5"/>
        <v>2015-02</v>
      </c>
      <c r="J414" s="2">
        <f t="shared" si="6"/>
        <v>2015</v>
      </c>
      <c r="K414" s="2">
        <f t="shared" si="7"/>
        <v>1</v>
      </c>
      <c r="L414" s="2" t="str">
        <f t="shared" si="8"/>
        <v>Sun</v>
      </c>
    </row>
    <row r="415" ht="15.0" customHeight="1">
      <c r="A415" s="4">
        <v>42051.0</v>
      </c>
      <c r="B415" s="2">
        <v>220506.21</v>
      </c>
      <c r="C415" s="2">
        <v>234723.22</v>
      </c>
      <c r="D415" s="2">
        <v>5846.0</v>
      </c>
      <c r="E415" s="5">
        <f t="shared" si="1"/>
        <v>37.71916011</v>
      </c>
      <c r="F415" s="7">
        <f t="shared" si="2"/>
        <v>-0.06447442002</v>
      </c>
      <c r="G415" s="5">
        <f t="shared" si="3"/>
        <v>-2.431920972</v>
      </c>
      <c r="H415" s="7">
        <f t="shared" si="4"/>
        <v>-0.06447442002</v>
      </c>
      <c r="I415" s="2" t="str">
        <f t="shared" si="5"/>
        <v>2015-02</v>
      </c>
      <c r="J415" s="2">
        <f t="shared" si="6"/>
        <v>2015</v>
      </c>
      <c r="K415" s="2">
        <f t="shared" si="7"/>
        <v>2</v>
      </c>
      <c r="L415" s="2" t="str">
        <f t="shared" si="8"/>
        <v>Mon</v>
      </c>
    </row>
    <row r="416" ht="15.0" customHeight="1">
      <c r="A416" s="4">
        <v>42052.0</v>
      </c>
      <c r="B416" s="2">
        <v>139935.94</v>
      </c>
      <c r="C416" s="2">
        <v>148697.54</v>
      </c>
      <c r="D416" s="2">
        <v>3713.0</v>
      </c>
      <c r="E416" s="5">
        <f t="shared" si="1"/>
        <v>37.68810665</v>
      </c>
      <c r="F416" s="7">
        <f t="shared" si="2"/>
        <v>-0.06261150638</v>
      </c>
      <c r="G416" s="5">
        <f t="shared" si="3"/>
        <v>-2.35970913</v>
      </c>
      <c r="H416" s="7">
        <f t="shared" si="4"/>
        <v>-0.06261150638</v>
      </c>
      <c r="I416" s="2" t="str">
        <f t="shared" si="5"/>
        <v>2015-02</v>
      </c>
      <c r="J416" s="2">
        <f t="shared" si="6"/>
        <v>2015</v>
      </c>
      <c r="K416" s="2">
        <f t="shared" si="7"/>
        <v>3</v>
      </c>
      <c r="L416" s="2" t="str">
        <f t="shared" si="8"/>
        <v>Tue</v>
      </c>
    </row>
    <row r="417" ht="15.0" customHeight="1">
      <c r="A417" s="4">
        <v>42053.0</v>
      </c>
      <c r="B417" s="2">
        <v>161064.75</v>
      </c>
      <c r="C417" s="2">
        <v>170739.37</v>
      </c>
      <c r="D417" s="2">
        <v>4270.0</v>
      </c>
      <c r="E417" s="5">
        <f t="shared" si="1"/>
        <v>37.72008197</v>
      </c>
      <c r="F417" s="7">
        <f t="shared" si="2"/>
        <v>-0.06006665021</v>
      </c>
      <c r="G417" s="5">
        <f t="shared" si="3"/>
        <v>-2.26571897</v>
      </c>
      <c r="H417" s="7">
        <f t="shared" si="4"/>
        <v>-0.06006665021</v>
      </c>
      <c r="I417" s="2" t="str">
        <f t="shared" si="5"/>
        <v>2015-02</v>
      </c>
      <c r="J417" s="2">
        <f t="shared" si="6"/>
        <v>2015</v>
      </c>
      <c r="K417" s="2">
        <f t="shared" si="7"/>
        <v>4</v>
      </c>
      <c r="L417" s="2" t="str">
        <f t="shared" si="8"/>
        <v>Wed</v>
      </c>
    </row>
    <row r="418" ht="15.0" customHeight="1">
      <c r="A418" s="4">
        <v>42054.0</v>
      </c>
      <c r="B418" s="2">
        <v>144328.55</v>
      </c>
      <c r="C418" s="2">
        <v>152824.11</v>
      </c>
      <c r="D418" s="2">
        <v>3827.0</v>
      </c>
      <c r="E418" s="5">
        <f t="shared" si="1"/>
        <v>37.71323491</v>
      </c>
      <c r="F418" s="7">
        <f t="shared" si="2"/>
        <v>-0.0588626436</v>
      </c>
      <c r="G418" s="5">
        <f t="shared" si="3"/>
        <v>-2.219900706</v>
      </c>
      <c r="H418" s="7">
        <f t="shared" si="4"/>
        <v>-0.0588626436</v>
      </c>
      <c r="I418" s="2" t="str">
        <f t="shared" si="5"/>
        <v>2015-02</v>
      </c>
      <c r="J418" s="2">
        <f t="shared" si="6"/>
        <v>2015</v>
      </c>
      <c r="K418" s="2">
        <f t="shared" si="7"/>
        <v>5</v>
      </c>
      <c r="L418" s="2" t="str">
        <f t="shared" si="8"/>
        <v>Thu</v>
      </c>
    </row>
    <row r="419" ht="15.0" customHeight="1">
      <c r="A419" s="4">
        <v>42055.0</v>
      </c>
      <c r="B419" s="2">
        <v>293071.76</v>
      </c>
      <c r="C419" s="2">
        <v>310240.38</v>
      </c>
      <c r="D419" s="2">
        <v>7770.0</v>
      </c>
      <c r="E419" s="5">
        <f t="shared" si="1"/>
        <v>37.71837323</v>
      </c>
      <c r="F419" s="7">
        <f t="shared" si="2"/>
        <v>-0.0585816252</v>
      </c>
      <c r="G419" s="5">
        <f t="shared" si="3"/>
        <v>-2.209603604</v>
      </c>
      <c r="H419" s="7">
        <f t="shared" si="4"/>
        <v>-0.0585816252</v>
      </c>
      <c r="I419" s="2" t="str">
        <f t="shared" si="5"/>
        <v>2015-02</v>
      </c>
      <c r="J419" s="2">
        <f t="shared" si="6"/>
        <v>2015</v>
      </c>
      <c r="K419" s="2">
        <f t="shared" si="7"/>
        <v>6</v>
      </c>
      <c r="L419" s="2" t="str">
        <f t="shared" si="8"/>
        <v>Fri</v>
      </c>
    </row>
    <row r="420" ht="15.0" customHeight="1">
      <c r="A420" s="4">
        <v>42056.0</v>
      </c>
      <c r="B420" s="2">
        <v>267782.15</v>
      </c>
      <c r="C420" s="2">
        <v>283430.34</v>
      </c>
      <c r="D420" s="2">
        <v>7102.0</v>
      </c>
      <c r="E420" s="5">
        <f t="shared" si="1"/>
        <v>37.7051746</v>
      </c>
      <c r="F420" s="7">
        <f t="shared" si="2"/>
        <v>-0.05843626993</v>
      </c>
      <c r="G420" s="5">
        <f t="shared" si="3"/>
        <v>-2.203349761</v>
      </c>
      <c r="H420" s="7">
        <f t="shared" si="4"/>
        <v>-0.05843626993</v>
      </c>
      <c r="I420" s="2" t="str">
        <f t="shared" si="5"/>
        <v>2015-02</v>
      </c>
      <c r="J420" s="2">
        <f t="shared" si="6"/>
        <v>2015</v>
      </c>
      <c r="K420" s="2">
        <f t="shared" si="7"/>
        <v>7</v>
      </c>
      <c r="L420" s="2" t="str">
        <f t="shared" si="8"/>
        <v>Sat</v>
      </c>
    </row>
    <row r="421" ht="15.0" customHeight="1">
      <c r="A421" s="4">
        <v>42057.0</v>
      </c>
      <c r="B421" s="2">
        <v>136052.69</v>
      </c>
      <c r="C421" s="2">
        <v>144020.12</v>
      </c>
      <c r="D421" s="2">
        <v>3608.0</v>
      </c>
      <c r="E421" s="5">
        <f t="shared" si="1"/>
        <v>37.70861696</v>
      </c>
      <c r="F421" s="7">
        <f t="shared" si="2"/>
        <v>-0.0585613559</v>
      </c>
      <c r="G421" s="5">
        <f t="shared" si="3"/>
        <v>-2.208267738</v>
      </c>
      <c r="H421" s="7">
        <f t="shared" si="4"/>
        <v>-0.0585613559</v>
      </c>
      <c r="I421" s="2" t="str">
        <f t="shared" si="5"/>
        <v>2015-02</v>
      </c>
      <c r="J421" s="2">
        <f t="shared" si="6"/>
        <v>2015</v>
      </c>
      <c r="K421" s="2">
        <f t="shared" si="7"/>
        <v>1</v>
      </c>
      <c r="L421" s="2" t="str">
        <f t="shared" si="8"/>
        <v>Sun</v>
      </c>
    </row>
    <row r="422" ht="15.0" customHeight="1">
      <c r="A422" s="4">
        <v>42058.0</v>
      </c>
      <c r="B422" s="2">
        <v>86703.31</v>
      </c>
      <c r="C422" s="2">
        <v>85730.97</v>
      </c>
      <c r="D422" s="2">
        <v>2150.0</v>
      </c>
      <c r="E422" s="5">
        <f t="shared" si="1"/>
        <v>40.32712093</v>
      </c>
      <c r="F422" s="7">
        <f t="shared" si="2"/>
        <v>0.01121456609</v>
      </c>
      <c r="G422" s="5">
        <f t="shared" si="3"/>
        <v>0.4522511628</v>
      </c>
      <c r="H422" s="7">
        <f t="shared" si="4"/>
        <v>0.01121456609</v>
      </c>
      <c r="I422" s="2" t="str">
        <f t="shared" si="5"/>
        <v>2015-02</v>
      </c>
      <c r="J422" s="2">
        <f t="shared" si="6"/>
        <v>2015</v>
      </c>
      <c r="K422" s="2">
        <f t="shared" si="7"/>
        <v>2</v>
      </c>
      <c r="L422" s="2" t="str">
        <f t="shared" si="8"/>
        <v>Mon</v>
      </c>
    </row>
    <row r="423" ht="15.0" customHeight="1">
      <c r="A423" s="4">
        <v>42059.0</v>
      </c>
      <c r="B423" s="2">
        <v>95474.36</v>
      </c>
      <c r="C423" s="2">
        <v>100867.52</v>
      </c>
      <c r="D423" s="2">
        <v>2530.0</v>
      </c>
      <c r="E423" s="5">
        <f t="shared" si="1"/>
        <v>37.73690119</v>
      </c>
      <c r="F423" s="7">
        <f t="shared" si="2"/>
        <v>-0.05648804559</v>
      </c>
      <c r="G423" s="5">
        <f t="shared" si="3"/>
        <v>-2.131683794</v>
      </c>
      <c r="H423" s="7">
        <f t="shared" si="4"/>
        <v>-0.05648804559</v>
      </c>
      <c r="I423" s="2" t="str">
        <f t="shared" si="5"/>
        <v>2015-02</v>
      </c>
      <c r="J423" s="2">
        <f t="shared" si="6"/>
        <v>2015</v>
      </c>
      <c r="K423" s="2">
        <f t="shared" si="7"/>
        <v>3</v>
      </c>
      <c r="L423" s="2" t="str">
        <f t="shared" si="8"/>
        <v>Tue</v>
      </c>
    </row>
    <row r="424" ht="15.0" customHeight="1">
      <c r="A424" s="4">
        <v>42060.0</v>
      </c>
      <c r="B424" s="2">
        <v>198431.63</v>
      </c>
      <c r="C424" s="2">
        <v>209499.79</v>
      </c>
      <c r="D424" s="2">
        <v>5253.0</v>
      </c>
      <c r="E424" s="5">
        <f t="shared" si="1"/>
        <v>37.77491529</v>
      </c>
      <c r="F424" s="7">
        <f t="shared" si="2"/>
        <v>-0.05577820431</v>
      </c>
      <c r="G424" s="5">
        <f t="shared" si="3"/>
        <v>-2.107016943</v>
      </c>
      <c r="H424" s="7">
        <f t="shared" si="4"/>
        <v>-0.05577820431</v>
      </c>
      <c r="I424" s="2" t="str">
        <f t="shared" si="5"/>
        <v>2015-02</v>
      </c>
      <c r="J424" s="2">
        <f t="shared" si="6"/>
        <v>2015</v>
      </c>
      <c r="K424" s="2">
        <f t="shared" si="7"/>
        <v>4</v>
      </c>
      <c r="L424" s="2" t="str">
        <f t="shared" si="8"/>
        <v>Wed</v>
      </c>
    </row>
    <row r="425" ht="15.0" customHeight="1">
      <c r="A425" s="4">
        <v>42061.0</v>
      </c>
      <c r="B425" s="2">
        <v>157291.73</v>
      </c>
      <c r="C425" s="2">
        <v>166305.04</v>
      </c>
      <c r="D425" s="2">
        <v>4171.0</v>
      </c>
      <c r="E425" s="5">
        <f t="shared" si="1"/>
        <v>37.71079597</v>
      </c>
      <c r="F425" s="7">
        <f t="shared" si="2"/>
        <v>-0.05730313984</v>
      </c>
      <c r="G425" s="5">
        <f t="shared" si="3"/>
        <v>-2.160947015</v>
      </c>
      <c r="H425" s="7">
        <f t="shared" si="4"/>
        <v>-0.05730313984</v>
      </c>
      <c r="I425" s="2" t="str">
        <f t="shared" si="5"/>
        <v>2015-02</v>
      </c>
      <c r="J425" s="2">
        <f t="shared" si="6"/>
        <v>2015</v>
      </c>
      <c r="K425" s="2">
        <f t="shared" si="7"/>
        <v>5</v>
      </c>
      <c r="L425" s="2" t="str">
        <f t="shared" si="8"/>
        <v>Thu</v>
      </c>
    </row>
    <row r="426" ht="15.0" customHeight="1">
      <c r="A426" s="4">
        <v>42062.0</v>
      </c>
      <c r="B426" s="2">
        <v>307540.68</v>
      </c>
      <c r="C426" s="2">
        <v>324997.34</v>
      </c>
      <c r="D426" s="2">
        <v>8156.0</v>
      </c>
      <c r="E426" s="5">
        <f t="shared" si="1"/>
        <v>37.70729279</v>
      </c>
      <c r="F426" s="7">
        <f t="shared" si="2"/>
        <v>-0.0567621168</v>
      </c>
      <c r="G426" s="5">
        <f t="shared" si="3"/>
        <v>-2.140345758</v>
      </c>
      <c r="H426" s="7">
        <f t="shared" si="4"/>
        <v>-0.0567621168</v>
      </c>
      <c r="I426" s="2" t="str">
        <f t="shared" si="5"/>
        <v>2015-02</v>
      </c>
      <c r="J426" s="2">
        <f t="shared" si="6"/>
        <v>2015</v>
      </c>
      <c r="K426" s="2">
        <f t="shared" si="7"/>
        <v>6</v>
      </c>
      <c r="L426" s="2" t="str">
        <f t="shared" si="8"/>
        <v>Fri</v>
      </c>
    </row>
    <row r="427" ht="15.0" customHeight="1">
      <c r="A427" s="4">
        <v>42063.0</v>
      </c>
      <c r="B427" s="2">
        <v>350898.76</v>
      </c>
      <c r="C427" s="2">
        <v>375030.64</v>
      </c>
      <c r="D427" s="2">
        <v>9296.0</v>
      </c>
      <c r="E427" s="5">
        <f t="shared" si="1"/>
        <v>37.74728485</v>
      </c>
      <c r="F427" s="7">
        <f t="shared" si="2"/>
        <v>-0.06877163088</v>
      </c>
      <c r="G427" s="5">
        <f t="shared" si="3"/>
        <v>-2.595942341</v>
      </c>
      <c r="H427" s="7">
        <f t="shared" si="4"/>
        <v>-0.06877163088</v>
      </c>
      <c r="I427" s="2" t="str">
        <f t="shared" si="5"/>
        <v>2015-02</v>
      </c>
      <c r="J427" s="2">
        <f t="shared" si="6"/>
        <v>2015</v>
      </c>
      <c r="K427" s="2">
        <f t="shared" si="7"/>
        <v>7</v>
      </c>
      <c r="L427" s="2" t="str">
        <f t="shared" si="8"/>
        <v>Sat</v>
      </c>
    </row>
    <row r="428" ht="15.0" customHeight="1">
      <c r="A428" s="4">
        <v>42064.0</v>
      </c>
      <c r="B428" s="2">
        <v>256701.54</v>
      </c>
      <c r="C428" s="2">
        <v>276569.25</v>
      </c>
      <c r="D428" s="2">
        <v>6803.0</v>
      </c>
      <c r="E428" s="5">
        <f t="shared" si="1"/>
        <v>37.7335793</v>
      </c>
      <c r="F428" s="7">
        <f t="shared" si="2"/>
        <v>-0.07739614651</v>
      </c>
      <c r="G428" s="5">
        <f t="shared" si="3"/>
        <v>-2.920433632</v>
      </c>
      <c r="H428" s="7">
        <f t="shared" si="4"/>
        <v>-0.07739614651</v>
      </c>
      <c r="I428" s="2" t="str">
        <f t="shared" si="5"/>
        <v>2015-03</v>
      </c>
      <c r="J428" s="2">
        <f t="shared" si="6"/>
        <v>2015</v>
      </c>
      <c r="K428" s="2">
        <f t="shared" si="7"/>
        <v>1</v>
      </c>
      <c r="L428" s="2" t="str">
        <f t="shared" si="8"/>
        <v>Sun</v>
      </c>
    </row>
    <row r="429" ht="15.0" customHeight="1">
      <c r="A429" s="4">
        <v>42065.0</v>
      </c>
      <c r="B429" s="2">
        <v>234705.59</v>
      </c>
      <c r="C429" s="2">
        <v>252709.82</v>
      </c>
      <c r="D429" s="2">
        <v>6221.0</v>
      </c>
      <c r="E429" s="5">
        <f t="shared" si="1"/>
        <v>37.7279521</v>
      </c>
      <c r="F429" s="7">
        <f t="shared" si="2"/>
        <v>-0.07670984743</v>
      </c>
      <c r="G429" s="5">
        <f t="shared" si="3"/>
        <v>-2.894105449</v>
      </c>
      <c r="H429" s="7">
        <f t="shared" si="4"/>
        <v>-0.07670984743</v>
      </c>
      <c r="I429" s="2" t="str">
        <f t="shared" si="5"/>
        <v>2015-03</v>
      </c>
      <c r="J429" s="2">
        <f t="shared" si="6"/>
        <v>2015</v>
      </c>
      <c r="K429" s="2">
        <f t="shared" si="7"/>
        <v>2</v>
      </c>
      <c r="L429" s="2" t="str">
        <f t="shared" si="8"/>
        <v>Mon</v>
      </c>
    </row>
    <row r="430" ht="15.0" customHeight="1">
      <c r="A430" s="4">
        <v>42066.0</v>
      </c>
      <c r="B430" s="2">
        <v>249380.57</v>
      </c>
      <c r="C430" s="2">
        <v>268761.83</v>
      </c>
      <c r="D430" s="2">
        <v>6611.0</v>
      </c>
      <c r="E430" s="5">
        <f t="shared" si="1"/>
        <v>37.72206474</v>
      </c>
      <c r="F430" s="7">
        <f t="shared" si="2"/>
        <v>-0.07771760246</v>
      </c>
      <c r="G430" s="5">
        <f t="shared" si="3"/>
        <v>-2.931668431</v>
      </c>
      <c r="H430" s="7">
        <f t="shared" si="4"/>
        <v>-0.07771760246</v>
      </c>
      <c r="I430" s="2" t="str">
        <f t="shared" si="5"/>
        <v>2015-03</v>
      </c>
      <c r="J430" s="2">
        <f t="shared" si="6"/>
        <v>2015</v>
      </c>
      <c r="K430" s="2">
        <f t="shared" si="7"/>
        <v>3</v>
      </c>
      <c r="L430" s="2" t="str">
        <f t="shared" si="8"/>
        <v>Tue</v>
      </c>
    </row>
    <row r="431" ht="15.0" customHeight="1">
      <c r="A431" s="4">
        <v>42067.0</v>
      </c>
      <c r="B431" s="2">
        <v>258211.44</v>
      </c>
      <c r="C431" s="2">
        <v>278825.61</v>
      </c>
      <c r="D431" s="2">
        <v>6843.0</v>
      </c>
      <c r="E431" s="5">
        <f t="shared" si="1"/>
        <v>37.73366068</v>
      </c>
      <c r="F431" s="7">
        <f t="shared" si="2"/>
        <v>-0.0798344566</v>
      </c>
      <c r="G431" s="5">
        <f t="shared" si="3"/>
        <v>-3.012446295</v>
      </c>
      <c r="H431" s="7">
        <f t="shared" si="4"/>
        <v>-0.0798344566</v>
      </c>
      <c r="I431" s="2" t="str">
        <f t="shared" si="5"/>
        <v>2015-03</v>
      </c>
      <c r="J431" s="2">
        <f t="shared" si="6"/>
        <v>2015</v>
      </c>
      <c r="K431" s="2">
        <f t="shared" si="7"/>
        <v>4</v>
      </c>
      <c r="L431" s="2" t="str">
        <f t="shared" si="8"/>
        <v>Wed</v>
      </c>
    </row>
    <row r="432" ht="15.0" customHeight="1">
      <c r="A432" s="4">
        <v>42068.0</v>
      </c>
      <c r="B432" s="2">
        <v>145975.83</v>
      </c>
      <c r="C432" s="2">
        <v>157578.01</v>
      </c>
      <c r="D432" s="2">
        <v>3858.0</v>
      </c>
      <c r="E432" s="5">
        <f t="shared" si="1"/>
        <v>37.83717729</v>
      </c>
      <c r="F432" s="7">
        <f t="shared" si="2"/>
        <v>-0.07948014408</v>
      </c>
      <c r="G432" s="5">
        <f t="shared" si="3"/>
        <v>-3.007304303</v>
      </c>
      <c r="H432" s="7">
        <f t="shared" si="4"/>
        <v>-0.07948014408</v>
      </c>
      <c r="I432" s="2" t="str">
        <f t="shared" si="5"/>
        <v>2015-03</v>
      </c>
      <c r="J432" s="2">
        <f t="shared" si="6"/>
        <v>2015</v>
      </c>
      <c r="K432" s="2">
        <f t="shared" si="7"/>
        <v>5</v>
      </c>
      <c r="L432" s="2" t="str">
        <f t="shared" si="8"/>
        <v>Thu</v>
      </c>
    </row>
    <row r="433" ht="15.0" customHeight="1">
      <c r="A433" s="4">
        <v>42069.0</v>
      </c>
      <c r="B433" s="2">
        <v>269239.85</v>
      </c>
      <c r="C433" s="2">
        <v>291365.02</v>
      </c>
      <c r="D433" s="2">
        <v>7128.0</v>
      </c>
      <c r="E433" s="5">
        <f t="shared" si="1"/>
        <v>37.77214506</v>
      </c>
      <c r="F433" s="7">
        <f t="shared" si="2"/>
        <v>-0.08217643116</v>
      </c>
      <c r="G433" s="5">
        <f t="shared" si="3"/>
        <v>-3.103980079</v>
      </c>
      <c r="H433" s="7">
        <f t="shared" si="4"/>
        <v>-0.08217643116</v>
      </c>
      <c r="I433" s="2" t="str">
        <f t="shared" si="5"/>
        <v>2015-03</v>
      </c>
      <c r="J433" s="2">
        <f t="shared" si="6"/>
        <v>2015</v>
      </c>
      <c r="K433" s="2">
        <f t="shared" si="7"/>
        <v>6</v>
      </c>
      <c r="L433" s="2" t="str">
        <f t="shared" si="8"/>
        <v>Fri</v>
      </c>
    </row>
    <row r="434" ht="15.0" customHeight="1">
      <c r="A434" s="4">
        <v>42070.0</v>
      </c>
      <c r="B434" s="2">
        <v>306920.21</v>
      </c>
      <c r="C434" s="2">
        <v>332242.41</v>
      </c>
      <c r="D434" s="2">
        <v>8127.0</v>
      </c>
      <c r="E434" s="5">
        <f t="shared" si="1"/>
        <v>37.76549895</v>
      </c>
      <c r="F434" s="7">
        <f t="shared" si="2"/>
        <v>-0.08250417918</v>
      </c>
      <c r="G434" s="5">
        <f t="shared" si="3"/>
        <v>-3.115811493</v>
      </c>
      <c r="H434" s="7">
        <f t="shared" si="4"/>
        <v>-0.08250417918</v>
      </c>
      <c r="I434" s="2" t="str">
        <f t="shared" si="5"/>
        <v>2015-03</v>
      </c>
      <c r="J434" s="2">
        <f t="shared" si="6"/>
        <v>2015</v>
      </c>
      <c r="K434" s="2">
        <f t="shared" si="7"/>
        <v>7</v>
      </c>
      <c r="L434" s="2" t="str">
        <f t="shared" si="8"/>
        <v>Sat</v>
      </c>
    </row>
    <row r="435" ht="15.0" customHeight="1">
      <c r="A435" s="4">
        <v>42071.0</v>
      </c>
      <c r="B435" s="2">
        <v>122106.8</v>
      </c>
      <c r="C435" s="2">
        <v>121394.81</v>
      </c>
      <c r="D435" s="2">
        <v>2966.0</v>
      </c>
      <c r="E435" s="5">
        <f t="shared" si="1"/>
        <v>41.16884693</v>
      </c>
      <c r="F435" s="7">
        <f t="shared" si="2"/>
        <v>0.005830879198</v>
      </c>
      <c r="G435" s="5">
        <f t="shared" si="3"/>
        <v>0.2400505732</v>
      </c>
      <c r="H435" s="7">
        <f t="shared" si="4"/>
        <v>0.005830879198</v>
      </c>
      <c r="I435" s="2" t="str">
        <f t="shared" si="5"/>
        <v>2015-03</v>
      </c>
      <c r="J435" s="2">
        <f t="shared" si="6"/>
        <v>2015</v>
      </c>
      <c r="K435" s="2">
        <f t="shared" si="7"/>
        <v>1</v>
      </c>
      <c r="L435" s="2" t="str">
        <f t="shared" si="8"/>
        <v>Sun</v>
      </c>
    </row>
    <row r="436" ht="15.0" customHeight="1">
      <c r="A436" s="4">
        <v>42072.0</v>
      </c>
      <c r="B436" s="2">
        <v>117661.28</v>
      </c>
      <c r="C436" s="2">
        <v>116861.16</v>
      </c>
      <c r="D436" s="2">
        <v>2858.0</v>
      </c>
      <c r="E436" s="5">
        <f t="shared" si="1"/>
        <v>41.16909727</v>
      </c>
      <c r="F436" s="7">
        <f t="shared" si="2"/>
        <v>0.006800197992</v>
      </c>
      <c r="G436" s="5">
        <f t="shared" si="3"/>
        <v>0.2799580126</v>
      </c>
      <c r="H436" s="7">
        <f t="shared" si="4"/>
        <v>0.006800197992</v>
      </c>
      <c r="I436" s="2" t="str">
        <f t="shared" si="5"/>
        <v>2015-03</v>
      </c>
      <c r="J436" s="2">
        <f t="shared" si="6"/>
        <v>2015</v>
      </c>
      <c r="K436" s="2">
        <f t="shared" si="7"/>
        <v>2</v>
      </c>
      <c r="L436" s="2" t="str">
        <f t="shared" si="8"/>
        <v>Mon</v>
      </c>
    </row>
    <row r="437" ht="15.0" customHeight="1">
      <c r="A437" s="4">
        <v>42073.0</v>
      </c>
      <c r="B437" s="2">
        <v>62499.8</v>
      </c>
      <c r="C437" s="2">
        <v>62073.87</v>
      </c>
      <c r="D437" s="2">
        <v>1518.0</v>
      </c>
      <c r="E437" s="5">
        <f t="shared" si="1"/>
        <v>41.17246377</v>
      </c>
      <c r="F437" s="7">
        <f t="shared" si="2"/>
        <v>0.006814901808</v>
      </c>
      <c r="G437" s="5">
        <f t="shared" si="3"/>
        <v>0.2805862978</v>
      </c>
      <c r="H437" s="7">
        <f t="shared" si="4"/>
        <v>0.006814901808</v>
      </c>
      <c r="I437" s="2" t="str">
        <f t="shared" si="5"/>
        <v>2015-03</v>
      </c>
      <c r="J437" s="2">
        <f t="shared" si="6"/>
        <v>2015</v>
      </c>
      <c r="K437" s="2">
        <f t="shared" si="7"/>
        <v>3</v>
      </c>
      <c r="L437" s="2" t="str">
        <f t="shared" si="8"/>
        <v>Tue</v>
      </c>
    </row>
    <row r="438" ht="15.0" customHeight="1">
      <c r="A438" s="4">
        <v>42074.0</v>
      </c>
      <c r="B438" s="2">
        <v>57063.98</v>
      </c>
      <c r="C438" s="2">
        <v>56638.28</v>
      </c>
      <c r="D438" s="2">
        <v>1386.0</v>
      </c>
      <c r="E438" s="5">
        <f t="shared" si="1"/>
        <v>41.17170274</v>
      </c>
      <c r="F438" s="7">
        <f t="shared" si="2"/>
        <v>0.007460047477</v>
      </c>
      <c r="G438" s="5">
        <f t="shared" si="3"/>
        <v>0.3071428571</v>
      </c>
      <c r="H438" s="7">
        <f t="shared" si="4"/>
        <v>0.007460047477</v>
      </c>
      <c r="I438" s="2" t="str">
        <f t="shared" si="5"/>
        <v>2015-03</v>
      </c>
      <c r="J438" s="2">
        <f t="shared" si="6"/>
        <v>2015</v>
      </c>
      <c r="K438" s="2">
        <f t="shared" si="7"/>
        <v>4</v>
      </c>
      <c r="L438" s="2" t="str">
        <f t="shared" si="8"/>
        <v>Wed</v>
      </c>
    </row>
    <row r="439" ht="15.0" customHeight="1">
      <c r="A439" s="4">
        <v>42075.0</v>
      </c>
      <c r="B439" s="2">
        <v>48008.48</v>
      </c>
      <c r="C439" s="2">
        <v>47681.67</v>
      </c>
      <c r="D439" s="2">
        <v>1166.0</v>
      </c>
      <c r="E439" s="5">
        <f t="shared" si="1"/>
        <v>41.17365352</v>
      </c>
      <c r="F439" s="7">
        <f t="shared" si="2"/>
        <v>0.006807339037</v>
      </c>
      <c r="G439" s="5">
        <f t="shared" si="3"/>
        <v>0.2802830189</v>
      </c>
      <c r="H439" s="7">
        <f t="shared" si="4"/>
        <v>0.006807339037</v>
      </c>
      <c r="I439" s="2" t="str">
        <f t="shared" si="5"/>
        <v>2015-03</v>
      </c>
      <c r="J439" s="2">
        <f t="shared" si="6"/>
        <v>2015</v>
      </c>
      <c r="K439" s="2">
        <f t="shared" si="7"/>
        <v>5</v>
      </c>
      <c r="L439" s="2" t="str">
        <f t="shared" si="8"/>
        <v>Thu</v>
      </c>
    </row>
    <row r="440" ht="15.0" customHeight="1">
      <c r="A440" s="4">
        <v>42076.0</v>
      </c>
      <c r="B440" s="2">
        <v>117446.84</v>
      </c>
      <c r="C440" s="2">
        <v>116681.14</v>
      </c>
      <c r="D440" s="2">
        <v>2853.0</v>
      </c>
      <c r="E440" s="5">
        <f t="shared" si="1"/>
        <v>41.16608482</v>
      </c>
      <c r="F440" s="7">
        <f t="shared" si="2"/>
        <v>0.006519545353</v>
      </c>
      <c r="G440" s="5">
        <f t="shared" si="3"/>
        <v>0.268384157</v>
      </c>
      <c r="H440" s="7">
        <f t="shared" si="4"/>
        <v>0.006519545353</v>
      </c>
      <c r="I440" s="2" t="str">
        <f t="shared" si="5"/>
        <v>2015-03</v>
      </c>
      <c r="J440" s="2">
        <f t="shared" si="6"/>
        <v>2015</v>
      </c>
      <c r="K440" s="2">
        <f t="shared" si="7"/>
        <v>6</v>
      </c>
      <c r="L440" s="2" t="str">
        <f t="shared" si="8"/>
        <v>Fri</v>
      </c>
    </row>
    <row r="441" ht="15.0" customHeight="1">
      <c r="A441" s="4">
        <v>42077.0</v>
      </c>
      <c r="B441" s="2">
        <v>150591.55</v>
      </c>
      <c r="C441" s="2">
        <v>149573.83</v>
      </c>
      <c r="D441" s="2">
        <v>3657.0</v>
      </c>
      <c r="E441" s="5">
        <f t="shared" si="1"/>
        <v>41.17898551</v>
      </c>
      <c r="F441" s="7">
        <f t="shared" si="2"/>
        <v>0.006758148117</v>
      </c>
      <c r="G441" s="5">
        <f t="shared" si="3"/>
        <v>0.2782936833</v>
      </c>
      <c r="H441" s="7">
        <f t="shared" si="4"/>
        <v>0.006758148117</v>
      </c>
      <c r="I441" s="2" t="str">
        <f t="shared" si="5"/>
        <v>2015-03</v>
      </c>
      <c r="J441" s="2">
        <f t="shared" si="6"/>
        <v>2015</v>
      </c>
      <c r="K441" s="2">
        <f t="shared" si="7"/>
        <v>7</v>
      </c>
      <c r="L441" s="2" t="str">
        <f t="shared" si="8"/>
        <v>Sat</v>
      </c>
    </row>
    <row r="442" ht="15.0" customHeight="1">
      <c r="A442" s="4">
        <v>42078.0</v>
      </c>
      <c r="B442" s="2">
        <v>67152.47</v>
      </c>
      <c r="C442" s="2">
        <v>66802.98</v>
      </c>
      <c r="D442" s="2">
        <v>1631.0</v>
      </c>
      <c r="E442" s="5">
        <f t="shared" si="1"/>
        <v>41.17257511</v>
      </c>
      <c r="F442" s="7">
        <f t="shared" si="2"/>
        <v>0.005204425094</v>
      </c>
      <c r="G442" s="5">
        <f t="shared" si="3"/>
        <v>0.2142795831</v>
      </c>
      <c r="H442" s="7">
        <f t="shared" si="4"/>
        <v>0.005204425094</v>
      </c>
      <c r="I442" s="2" t="str">
        <f t="shared" si="5"/>
        <v>2015-03</v>
      </c>
      <c r="J442" s="2">
        <f t="shared" si="6"/>
        <v>2015</v>
      </c>
      <c r="K442" s="2">
        <f t="shared" si="7"/>
        <v>1</v>
      </c>
      <c r="L442" s="2" t="str">
        <f t="shared" si="8"/>
        <v>Sun</v>
      </c>
    </row>
    <row r="443" ht="15.0" customHeight="1">
      <c r="A443" s="4">
        <v>42079.0</v>
      </c>
      <c r="B443" s="2">
        <v>80635.29</v>
      </c>
      <c r="C443" s="2">
        <v>80121.29</v>
      </c>
      <c r="D443" s="2">
        <v>1959.0</v>
      </c>
      <c r="E443" s="5">
        <f t="shared" si="1"/>
        <v>41.16145482</v>
      </c>
      <c r="F443" s="7">
        <f t="shared" si="2"/>
        <v>0.00637438025</v>
      </c>
      <c r="G443" s="5">
        <f t="shared" si="3"/>
        <v>0.2623787647</v>
      </c>
      <c r="H443" s="7">
        <f t="shared" si="4"/>
        <v>0.00637438025</v>
      </c>
      <c r="I443" s="2" t="str">
        <f t="shared" si="5"/>
        <v>2015-03</v>
      </c>
      <c r="J443" s="2">
        <f t="shared" si="6"/>
        <v>2015</v>
      </c>
      <c r="K443" s="2">
        <f t="shared" si="7"/>
        <v>2</v>
      </c>
      <c r="L443" s="2" t="str">
        <f t="shared" si="8"/>
        <v>Mon</v>
      </c>
    </row>
    <row r="444" ht="15.0" customHeight="1">
      <c r="A444" s="4">
        <v>42080.0</v>
      </c>
      <c r="B444" s="2">
        <v>50669.64</v>
      </c>
      <c r="C444" s="2">
        <v>50308.96</v>
      </c>
      <c r="D444" s="2">
        <v>1230.0</v>
      </c>
      <c r="E444" s="5">
        <f t="shared" si="1"/>
        <v>41.19482927</v>
      </c>
      <c r="F444" s="7">
        <f t="shared" si="2"/>
        <v>0.007118266481</v>
      </c>
      <c r="G444" s="5">
        <f t="shared" si="3"/>
        <v>0.2932357724</v>
      </c>
      <c r="H444" s="7">
        <f t="shared" si="4"/>
        <v>0.007118266481</v>
      </c>
      <c r="I444" s="2" t="str">
        <f t="shared" si="5"/>
        <v>2015-03</v>
      </c>
      <c r="J444" s="2">
        <f t="shared" si="6"/>
        <v>2015</v>
      </c>
      <c r="K444" s="2">
        <f t="shared" si="7"/>
        <v>3</v>
      </c>
      <c r="L444" s="2" t="str">
        <f t="shared" si="8"/>
        <v>Tue</v>
      </c>
    </row>
    <row r="445" ht="15.0" customHeight="1">
      <c r="A445" s="4">
        <v>42081.0</v>
      </c>
      <c r="B445" s="2">
        <v>48648.99</v>
      </c>
      <c r="C445" s="2">
        <v>48362.07</v>
      </c>
      <c r="D445" s="2">
        <v>1182.0</v>
      </c>
      <c r="E445" s="5">
        <f t="shared" si="1"/>
        <v>41.15819797</v>
      </c>
      <c r="F445" s="7">
        <f t="shared" si="2"/>
        <v>0.005897758617</v>
      </c>
      <c r="G445" s="5">
        <f t="shared" si="3"/>
        <v>0.2427411168</v>
      </c>
      <c r="H445" s="7">
        <f t="shared" si="4"/>
        <v>0.005897758617</v>
      </c>
      <c r="I445" s="2" t="str">
        <f t="shared" si="5"/>
        <v>2015-03</v>
      </c>
      <c r="J445" s="2">
        <f t="shared" si="6"/>
        <v>2015</v>
      </c>
      <c r="K445" s="2">
        <f t="shared" si="7"/>
        <v>4</v>
      </c>
      <c r="L445" s="2" t="str">
        <f t="shared" si="8"/>
        <v>Wed</v>
      </c>
    </row>
    <row r="446" ht="15.0" customHeight="1">
      <c r="A446" s="4">
        <v>42082.0</v>
      </c>
      <c r="B446" s="2">
        <v>43213.18</v>
      </c>
      <c r="C446" s="2">
        <v>42981.22</v>
      </c>
      <c r="D446" s="2">
        <v>1050.0</v>
      </c>
      <c r="E446" s="5">
        <f t="shared" si="1"/>
        <v>41.15540952</v>
      </c>
      <c r="F446" s="7">
        <f t="shared" si="2"/>
        <v>0.005367806766</v>
      </c>
      <c r="G446" s="5">
        <f t="shared" si="3"/>
        <v>0.2209142857</v>
      </c>
      <c r="H446" s="7">
        <f t="shared" si="4"/>
        <v>0.005367806766</v>
      </c>
      <c r="I446" s="2" t="str">
        <f t="shared" si="5"/>
        <v>2015-03</v>
      </c>
      <c r="J446" s="2">
        <f t="shared" si="6"/>
        <v>2015</v>
      </c>
      <c r="K446" s="2">
        <f t="shared" si="7"/>
        <v>5</v>
      </c>
      <c r="L446" s="2" t="str">
        <f t="shared" si="8"/>
        <v>Thu</v>
      </c>
    </row>
    <row r="447" ht="15.0" customHeight="1">
      <c r="A447" s="4">
        <v>42083.0</v>
      </c>
      <c r="B447" s="2">
        <v>96881.02</v>
      </c>
      <c r="C447" s="2">
        <v>96453.29</v>
      </c>
      <c r="D447" s="2">
        <v>2353.0</v>
      </c>
      <c r="E447" s="5">
        <f t="shared" si="1"/>
        <v>41.17340416</v>
      </c>
      <c r="F447" s="7">
        <f t="shared" si="2"/>
        <v>0.004415003063</v>
      </c>
      <c r="G447" s="5">
        <f t="shared" si="3"/>
        <v>0.1817807055</v>
      </c>
      <c r="H447" s="7">
        <f t="shared" si="4"/>
        <v>0.004415003063</v>
      </c>
      <c r="I447" s="2" t="str">
        <f t="shared" si="5"/>
        <v>2015-03</v>
      </c>
      <c r="J447" s="2">
        <f t="shared" si="6"/>
        <v>2015</v>
      </c>
      <c r="K447" s="2">
        <f t="shared" si="7"/>
        <v>6</v>
      </c>
      <c r="L447" s="2" t="str">
        <f t="shared" si="8"/>
        <v>Fri</v>
      </c>
    </row>
    <row r="448" ht="15.0" customHeight="1">
      <c r="A448" s="4">
        <v>42084.0</v>
      </c>
      <c r="B448" s="2">
        <v>121360.89</v>
      </c>
      <c r="C448" s="2">
        <v>120829.29</v>
      </c>
      <c r="D448" s="2">
        <v>2947.0</v>
      </c>
      <c r="E448" s="5">
        <f t="shared" si="1"/>
        <v>41.1811639</v>
      </c>
      <c r="F448" s="7">
        <f t="shared" si="2"/>
        <v>0.004380323842</v>
      </c>
      <c r="G448" s="5">
        <f t="shared" si="3"/>
        <v>0.1803868341</v>
      </c>
      <c r="H448" s="7">
        <f t="shared" si="4"/>
        <v>0.004380323842</v>
      </c>
      <c r="I448" s="2" t="str">
        <f t="shared" si="5"/>
        <v>2015-03</v>
      </c>
      <c r="J448" s="2">
        <f t="shared" si="6"/>
        <v>2015</v>
      </c>
      <c r="K448" s="2">
        <f t="shared" si="7"/>
        <v>7</v>
      </c>
      <c r="L448" s="2" t="str">
        <f t="shared" si="8"/>
        <v>Sat</v>
      </c>
    </row>
    <row r="449" ht="15.0" customHeight="1">
      <c r="A449" s="4">
        <v>42085.0</v>
      </c>
      <c r="B449" s="2">
        <v>66954.37</v>
      </c>
      <c r="C449" s="2">
        <v>66756.38</v>
      </c>
      <c r="D449" s="2">
        <v>1626.0</v>
      </c>
      <c r="E449" s="5">
        <f t="shared" si="1"/>
        <v>41.17734932</v>
      </c>
      <c r="F449" s="7">
        <f t="shared" si="2"/>
        <v>0.002957088537</v>
      </c>
      <c r="G449" s="5">
        <f t="shared" si="3"/>
        <v>0.1217650677</v>
      </c>
      <c r="H449" s="7">
        <f t="shared" si="4"/>
        <v>0.002957088537</v>
      </c>
      <c r="I449" s="2" t="str">
        <f t="shared" si="5"/>
        <v>2015-03</v>
      </c>
      <c r="J449" s="2">
        <f t="shared" si="6"/>
        <v>2015</v>
      </c>
      <c r="K449" s="2">
        <f t="shared" si="7"/>
        <v>1</v>
      </c>
      <c r="L449" s="2" t="str">
        <f t="shared" si="8"/>
        <v>Sun</v>
      </c>
    </row>
    <row r="450" ht="15.0" customHeight="1">
      <c r="A450" s="4">
        <v>42086.0</v>
      </c>
      <c r="B450" s="2">
        <v>81342.15</v>
      </c>
      <c r="C450" s="2">
        <v>81132.01</v>
      </c>
      <c r="D450" s="2">
        <v>1976.0</v>
      </c>
      <c r="E450" s="5">
        <f t="shared" si="1"/>
        <v>41.16505567</v>
      </c>
      <c r="F450" s="7">
        <f t="shared" si="2"/>
        <v>0.002583408479</v>
      </c>
      <c r="G450" s="5">
        <f t="shared" si="3"/>
        <v>0.1063461538</v>
      </c>
      <c r="H450" s="7">
        <f t="shared" si="4"/>
        <v>0.002583408479</v>
      </c>
      <c r="I450" s="2" t="str">
        <f t="shared" si="5"/>
        <v>2015-03</v>
      </c>
      <c r="J450" s="2">
        <f t="shared" si="6"/>
        <v>2015</v>
      </c>
      <c r="K450" s="2">
        <f t="shared" si="7"/>
        <v>2</v>
      </c>
      <c r="L450" s="2" t="str">
        <f t="shared" si="8"/>
        <v>Mon</v>
      </c>
    </row>
    <row r="451" ht="15.0" customHeight="1">
      <c r="A451" s="4">
        <v>42087.0</v>
      </c>
      <c r="B451" s="2">
        <v>125060.71</v>
      </c>
      <c r="C451" s="2">
        <v>136375.15</v>
      </c>
      <c r="D451" s="2">
        <v>3312.0</v>
      </c>
      <c r="E451" s="5">
        <f t="shared" si="1"/>
        <v>37.75987621</v>
      </c>
      <c r="F451" s="7">
        <f t="shared" si="2"/>
        <v>-0.09047157976</v>
      </c>
      <c r="G451" s="5">
        <f t="shared" si="3"/>
        <v>-3.416195652</v>
      </c>
      <c r="H451" s="7">
        <f t="shared" si="4"/>
        <v>-0.09047157976</v>
      </c>
      <c r="I451" s="2" t="str">
        <f t="shared" si="5"/>
        <v>2015-03</v>
      </c>
      <c r="J451" s="2">
        <f t="shared" si="6"/>
        <v>2015</v>
      </c>
      <c r="K451" s="2">
        <f t="shared" si="7"/>
        <v>3</v>
      </c>
      <c r="L451" s="2" t="str">
        <f t="shared" si="8"/>
        <v>Tue</v>
      </c>
    </row>
    <row r="452" ht="15.0" customHeight="1">
      <c r="A452" s="4">
        <v>42088.0</v>
      </c>
      <c r="B452" s="2">
        <v>253218.83</v>
      </c>
      <c r="C452" s="2">
        <v>276194.83</v>
      </c>
      <c r="D452" s="2">
        <v>6704.0</v>
      </c>
      <c r="E452" s="5">
        <f t="shared" si="1"/>
        <v>37.77130519</v>
      </c>
      <c r="F452" s="7">
        <f t="shared" si="2"/>
        <v>-0.09073574821</v>
      </c>
      <c r="G452" s="5">
        <f t="shared" si="3"/>
        <v>-3.427207637</v>
      </c>
      <c r="H452" s="7">
        <f t="shared" si="4"/>
        <v>-0.09073574821</v>
      </c>
      <c r="I452" s="2" t="str">
        <f t="shared" si="5"/>
        <v>2015-03</v>
      </c>
      <c r="J452" s="2">
        <f t="shared" si="6"/>
        <v>2015</v>
      </c>
      <c r="K452" s="2">
        <f t="shared" si="7"/>
        <v>4</v>
      </c>
      <c r="L452" s="2" t="str">
        <f t="shared" si="8"/>
        <v>Wed</v>
      </c>
    </row>
    <row r="453" ht="15.0" customHeight="1">
      <c r="A453" s="4">
        <v>42089.0</v>
      </c>
      <c r="B453" s="2">
        <v>229184.47</v>
      </c>
      <c r="C453" s="2">
        <v>250361.15</v>
      </c>
      <c r="D453" s="2">
        <v>6077.0</v>
      </c>
      <c r="E453" s="5">
        <f t="shared" si="1"/>
        <v>37.71342274</v>
      </c>
      <c r="F453" s="7">
        <f t="shared" si="2"/>
        <v>-0.09240015259</v>
      </c>
      <c r="G453" s="5">
        <f t="shared" si="3"/>
        <v>-3.484726016</v>
      </c>
      <c r="H453" s="7">
        <f t="shared" si="4"/>
        <v>-0.09240015259</v>
      </c>
      <c r="I453" s="2" t="str">
        <f t="shared" si="5"/>
        <v>2015-03</v>
      </c>
      <c r="J453" s="2">
        <f t="shared" si="6"/>
        <v>2015</v>
      </c>
      <c r="K453" s="2">
        <f t="shared" si="7"/>
        <v>5</v>
      </c>
      <c r="L453" s="2" t="str">
        <f t="shared" si="8"/>
        <v>Thu</v>
      </c>
    </row>
    <row r="454" ht="15.0" customHeight="1">
      <c r="A454" s="4">
        <v>42090.0</v>
      </c>
      <c r="B454" s="2">
        <v>354191.35</v>
      </c>
      <c r="C454" s="2">
        <v>386464.65</v>
      </c>
      <c r="D454" s="2">
        <v>9386.0</v>
      </c>
      <c r="E454" s="5">
        <f t="shared" si="1"/>
        <v>37.7361336</v>
      </c>
      <c r="F454" s="7">
        <f t="shared" si="2"/>
        <v>-0.09111826136</v>
      </c>
      <c r="G454" s="5">
        <f t="shared" si="3"/>
        <v>-3.438450884</v>
      </c>
      <c r="H454" s="7">
        <f t="shared" si="4"/>
        <v>-0.09111826136</v>
      </c>
      <c r="I454" s="2" t="str">
        <f t="shared" si="5"/>
        <v>2015-03</v>
      </c>
      <c r="J454" s="2">
        <f t="shared" si="6"/>
        <v>2015</v>
      </c>
      <c r="K454" s="2">
        <f t="shared" si="7"/>
        <v>6</v>
      </c>
      <c r="L454" s="2" t="str">
        <f t="shared" si="8"/>
        <v>Fri</v>
      </c>
    </row>
    <row r="455" ht="15.0" customHeight="1">
      <c r="A455" s="4">
        <v>42091.0</v>
      </c>
      <c r="B455" s="2">
        <v>459484.67</v>
      </c>
      <c r="C455" s="2">
        <v>501362.57</v>
      </c>
      <c r="D455" s="2">
        <v>12181.0</v>
      </c>
      <c r="E455" s="5">
        <f t="shared" si="1"/>
        <v>37.72142435</v>
      </c>
      <c r="F455" s="7">
        <f t="shared" si="2"/>
        <v>-0.09114101674</v>
      </c>
      <c r="G455" s="5">
        <f t="shared" si="3"/>
        <v>-3.437968968</v>
      </c>
      <c r="H455" s="7">
        <f t="shared" si="4"/>
        <v>-0.09114101674</v>
      </c>
      <c r="I455" s="2" t="str">
        <f t="shared" si="5"/>
        <v>2015-03</v>
      </c>
      <c r="J455" s="2">
        <f t="shared" si="6"/>
        <v>2015</v>
      </c>
      <c r="K455" s="2">
        <f t="shared" si="7"/>
        <v>7</v>
      </c>
      <c r="L455" s="2" t="str">
        <f t="shared" si="8"/>
        <v>Sat</v>
      </c>
    </row>
    <row r="456" ht="15.0" customHeight="1">
      <c r="A456" s="4">
        <v>42092.0</v>
      </c>
      <c r="B456" s="2">
        <v>224102.89</v>
      </c>
      <c r="C456" s="2">
        <v>244359.81</v>
      </c>
      <c r="D456" s="2">
        <v>5937.0</v>
      </c>
      <c r="E456" s="5">
        <f t="shared" si="1"/>
        <v>37.74682331</v>
      </c>
      <c r="F456" s="7">
        <f t="shared" si="2"/>
        <v>-0.09039115917</v>
      </c>
      <c r="G456" s="5">
        <f t="shared" si="3"/>
        <v>-3.411979114</v>
      </c>
      <c r="H456" s="7">
        <f t="shared" si="4"/>
        <v>-0.09039115917</v>
      </c>
      <c r="I456" s="2" t="str">
        <f t="shared" si="5"/>
        <v>2015-03</v>
      </c>
      <c r="J456" s="2">
        <f t="shared" si="6"/>
        <v>2015</v>
      </c>
      <c r="K456" s="2">
        <f t="shared" si="7"/>
        <v>1</v>
      </c>
      <c r="L456" s="2" t="str">
        <f t="shared" si="8"/>
        <v>Sun</v>
      </c>
    </row>
    <row r="457" ht="15.0" customHeight="1">
      <c r="A457" s="4">
        <v>42093.0</v>
      </c>
      <c r="B457" s="2">
        <v>215203.56</v>
      </c>
      <c r="C457" s="2">
        <v>234819.45</v>
      </c>
      <c r="D457" s="2">
        <v>5706.0</v>
      </c>
      <c r="E457" s="5">
        <f t="shared" si="1"/>
        <v>37.7153102</v>
      </c>
      <c r="F457" s="7">
        <f t="shared" si="2"/>
        <v>-0.09115039733</v>
      </c>
      <c r="G457" s="5">
        <f t="shared" si="3"/>
        <v>-3.43776551</v>
      </c>
      <c r="H457" s="7">
        <f t="shared" si="4"/>
        <v>-0.09115039733</v>
      </c>
      <c r="I457" s="2" t="str">
        <f t="shared" si="5"/>
        <v>2015-03</v>
      </c>
      <c r="J457" s="2">
        <f t="shared" si="6"/>
        <v>2015</v>
      </c>
      <c r="K457" s="2">
        <f t="shared" si="7"/>
        <v>2</v>
      </c>
      <c r="L457" s="2" t="str">
        <f t="shared" si="8"/>
        <v>Mon</v>
      </c>
    </row>
    <row r="458" ht="15.0" customHeight="1">
      <c r="A458" s="4">
        <v>42094.0</v>
      </c>
      <c r="B458" s="2">
        <v>355534.91</v>
      </c>
      <c r="C458" s="2">
        <v>386988.91</v>
      </c>
      <c r="D458" s="2">
        <v>9421.0</v>
      </c>
      <c r="E458" s="5">
        <f t="shared" si="1"/>
        <v>37.73855323</v>
      </c>
      <c r="F458" s="7">
        <f t="shared" si="2"/>
        <v>-0.08846951204</v>
      </c>
      <c r="G458" s="5">
        <f t="shared" si="3"/>
        <v>-3.338711389</v>
      </c>
      <c r="H458" s="7">
        <f t="shared" si="4"/>
        <v>-0.08846951204</v>
      </c>
      <c r="I458" s="2" t="str">
        <f t="shared" si="5"/>
        <v>2015-03</v>
      </c>
      <c r="J458" s="2">
        <f t="shared" si="6"/>
        <v>2015</v>
      </c>
      <c r="K458" s="2">
        <f t="shared" si="7"/>
        <v>3</v>
      </c>
      <c r="L458" s="2" t="str">
        <f t="shared" si="8"/>
        <v>Tue</v>
      </c>
    </row>
    <row r="459" ht="15.0" customHeight="1">
      <c r="A459" s="4">
        <v>42095.0</v>
      </c>
      <c r="B459" s="2">
        <v>498894.34</v>
      </c>
      <c r="C459" s="2">
        <v>542483.84</v>
      </c>
      <c r="D459" s="2">
        <v>13207.0</v>
      </c>
      <c r="E459" s="5">
        <f t="shared" si="1"/>
        <v>37.77499356</v>
      </c>
      <c r="F459" s="7">
        <f t="shared" si="2"/>
        <v>-0.08737220791</v>
      </c>
      <c r="G459" s="5">
        <f t="shared" si="3"/>
        <v>-3.300484592</v>
      </c>
      <c r="H459" s="7">
        <f t="shared" si="4"/>
        <v>-0.08737220791</v>
      </c>
      <c r="I459" s="2" t="str">
        <f t="shared" si="5"/>
        <v>2015-04</v>
      </c>
      <c r="J459" s="2">
        <f t="shared" si="6"/>
        <v>2015</v>
      </c>
      <c r="K459" s="2">
        <f t="shared" si="7"/>
        <v>4</v>
      </c>
      <c r="L459" s="2" t="str">
        <f t="shared" si="8"/>
        <v>Wed</v>
      </c>
    </row>
    <row r="460" ht="15.0" customHeight="1">
      <c r="A460" s="4">
        <v>42096.0</v>
      </c>
      <c r="B460" s="2">
        <v>715032.19</v>
      </c>
      <c r="C460" s="2">
        <v>777522.19</v>
      </c>
      <c r="D460" s="2">
        <v>18936.0</v>
      </c>
      <c r="E460" s="5">
        <f t="shared" si="1"/>
        <v>37.76046631</v>
      </c>
      <c r="F460" s="7">
        <f t="shared" si="2"/>
        <v>-0.08739466681</v>
      </c>
      <c r="G460" s="5">
        <f t="shared" si="3"/>
        <v>-3.300063371</v>
      </c>
      <c r="H460" s="7">
        <f t="shared" si="4"/>
        <v>-0.08739466681</v>
      </c>
      <c r="I460" s="2" t="str">
        <f t="shared" si="5"/>
        <v>2015-04</v>
      </c>
      <c r="J460" s="2">
        <f t="shared" si="6"/>
        <v>2015</v>
      </c>
      <c r="K460" s="2">
        <f t="shared" si="7"/>
        <v>5</v>
      </c>
      <c r="L460" s="2" t="str">
        <f t="shared" si="8"/>
        <v>Thu</v>
      </c>
    </row>
    <row r="461" ht="15.0" customHeight="1">
      <c r="A461" s="4">
        <v>42097.0</v>
      </c>
      <c r="B461" s="2">
        <v>510289.22</v>
      </c>
      <c r="C461" s="2">
        <v>554159.82</v>
      </c>
      <c r="D461" s="2">
        <v>13503.0</v>
      </c>
      <c r="E461" s="5">
        <f t="shared" si="1"/>
        <v>37.79080353</v>
      </c>
      <c r="F461" s="7">
        <f t="shared" si="2"/>
        <v>-0.08597202974</v>
      </c>
      <c r="G461" s="5">
        <f t="shared" si="3"/>
        <v>-3.248952085</v>
      </c>
      <c r="H461" s="7">
        <f t="shared" si="4"/>
        <v>-0.08597202974</v>
      </c>
      <c r="I461" s="2" t="str">
        <f t="shared" si="5"/>
        <v>2015-04</v>
      </c>
      <c r="J461" s="2">
        <f t="shared" si="6"/>
        <v>2015</v>
      </c>
      <c r="K461" s="2">
        <f t="shared" si="7"/>
        <v>6</v>
      </c>
      <c r="L461" s="2" t="str">
        <f t="shared" si="8"/>
        <v>Fri</v>
      </c>
    </row>
    <row r="462" ht="15.0" customHeight="1">
      <c r="A462" s="4">
        <v>42098.0</v>
      </c>
      <c r="B462" s="2">
        <v>400302.04</v>
      </c>
      <c r="C462" s="2">
        <v>434872.73</v>
      </c>
      <c r="D462" s="2">
        <v>10600.0</v>
      </c>
      <c r="E462" s="5">
        <f t="shared" si="1"/>
        <v>37.7643434</v>
      </c>
      <c r="F462" s="7">
        <f t="shared" si="2"/>
        <v>-0.08636151342</v>
      </c>
      <c r="G462" s="5">
        <f t="shared" si="3"/>
        <v>-3.261385849</v>
      </c>
      <c r="H462" s="7">
        <f t="shared" si="4"/>
        <v>-0.08636151342</v>
      </c>
      <c r="I462" s="2" t="str">
        <f t="shared" si="5"/>
        <v>2015-04</v>
      </c>
      <c r="J462" s="2">
        <f t="shared" si="6"/>
        <v>2015</v>
      </c>
      <c r="K462" s="2">
        <f t="shared" si="7"/>
        <v>7</v>
      </c>
      <c r="L462" s="2" t="str">
        <f t="shared" si="8"/>
        <v>Sat</v>
      </c>
    </row>
    <row r="463" ht="15.0" customHeight="1">
      <c r="A463" s="4">
        <v>42099.0</v>
      </c>
      <c r="B463" s="2">
        <v>135578.2</v>
      </c>
      <c r="C463" s="2">
        <v>147335.93</v>
      </c>
      <c r="D463" s="2">
        <v>3591.0</v>
      </c>
      <c r="E463" s="5">
        <f t="shared" si="1"/>
        <v>37.75499861</v>
      </c>
      <c r="F463" s="7">
        <f t="shared" si="2"/>
        <v>-0.08672286548</v>
      </c>
      <c r="G463" s="5">
        <f t="shared" si="3"/>
        <v>-3.274221665</v>
      </c>
      <c r="H463" s="7">
        <f t="shared" si="4"/>
        <v>-0.08672286548</v>
      </c>
      <c r="I463" s="2" t="str">
        <f t="shared" si="5"/>
        <v>2015-04</v>
      </c>
      <c r="J463" s="2">
        <f t="shared" si="6"/>
        <v>2015</v>
      </c>
      <c r="K463" s="2">
        <f t="shared" si="7"/>
        <v>1</v>
      </c>
      <c r="L463" s="2" t="str">
        <f t="shared" si="8"/>
        <v>Sun</v>
      </c>
    </row>
    <row r="464" ht="15.0" customHeight="1">
      <c r="A464" s="4">
        <v>42100.0</v>
      </c>
      <c r="B464" s="2">
        <v>182466.26</v>
      </c>
      <c r="C464" s="2">
        <v>198405.23</v>
      </c>
      <c r="D464" s="2">
        <v>4836.0</v>
      </c>
      <c r="E464" s="5">
        <f t="shared" si="1"/>
        <v>37.73082299</v>
      </c>
      <c r="F464" s="7">
        <f t="shared" si="2"/>
        <v>-0.08735297145</v>
      </c>
      <c r="G464" s="5">
        <f t="shared" si="3"/>
        <v>-3.295899504</v>
      </c>
      <c r="H464" s="7">
        <f t="shared" si="4"/>
        <v>-0.08735297145</v>
      </c>
      <c r="I464" s="2" t="str">
        <f t="shared" si="5"/>
        <v>2015-04</v>
      </c>
      <c r="J464" s="2">
        <f t="shared" si="6"/>
        <v>2015</v>
      </c>
      <c r="K464" s="2">
        <f t="shared" si="7"/>
        <v>2</v>
      </c>
      <c r="L464" s="2" t="str">
        <f t="shared" si="8"/>
        <v>Mon</v>
      </c>
    </row>
    <row r="465" ht="15.0" customHeight="1">
      <c r="A465" s="4">
        <v>42101.0</v>
      </c>
      <c r="B465" s="2">
        <v>176814.2</v>
      </c>
      <c r="C465" s="2">
        <v>178390.15</v>
      </c>
      <c r="D465" s="2">
        <v>4348.0</v>
      </c>
      <c r="E465" s="5">
        <f t="shared" si="1"/>
        <v>40.66563937</v>
      </c>
      <c r="F465" s="7">
        <f t="shared" si="2"/>
        <v>-0.008913028478</v>
      </c>
      <c r="G465" s="5">
        <f t="shared" si="3"/>
        <v>-0.3624540018</v>
      </c>
      <c r="H465" s="7">
        <f t="shared" si="4"/>
        <v>-0.008913028478</v>
      </c>
      <c r="I465" s="2" t="str">
        <f t="shared" si="5"/>
        <v>2015-04</v>
      </c>
      <c r="J465" s="2">
        <f t="shared" si="6"/>
        <v>2015</v>
      </c>
      <c r="K465" s="2">
        <f t="shared" si="7"/>
        <v>3</v>
      </c>
      <c r="L465" s="2" t="str">
        <f t="shared" si="8"/>
        <v>Tue</v>
      </c>
    </row>
    <row r="466" ht="15.0" customHeight="1">
      <c r="A466" s="4">
        <v>42102.0</v>
      </c>
      <c r="B466" s="2">
        <v>100917.67</v>
      </c>
      <c r="C466" s="2">
        <v>100579.13</v>
      </c>
      <c r="D466" s="2">
        <v>2451.0</v>
      </c>
      <c r="E466" s="5">
        <f t="shared" si="1"/>
        <v>41.17407997</v>
      </c>
      <c r="F466" s="7">
        <f t="shared" si="2"/>
        <v>0.003354615698</v>
      </c>
      <c r="G466" s="5">
        <f t="shared" si="3"/>
        <v>0.138123215</v>
      </c>
      <c r="H466" s="7">
        <f t="shared" si="4"/>
        <v>0.003354615698</v>
      </c>
      <c r="I466" s="2" t="str">
        <f t="shared" si="5"/>
        <v>2015-04</v>
      </c>
      <c r="J466" s="2">
        <f t="shared" si="6"/>
        <v>2015</v>
      </c>
      <c r="K466" s="2">
        <f t="shared" si="7"/>
        <v>4</v>
      </c>
      <c r="L466" s="2" t="str">
        <f t="shared" si="8"/>
        <v>Wed</v>
      </c>
    </row>
    <row r="467" ht="15.0" customHeight="1">
      <c r="A467" s="4">
        <v>42103.0</v>
      </c>
      <c r="B467" s="2">
        <v>74690.67</v>
      </c>
      <c r="C467" s="2">
        <v>74427.59</v>
      </c>
      <c r="D467" s="2">
        <v>1814.0</v>
      </c>
      <c r="E467" s="5">
        <f t="shared" si="1"/>
        <v>41.17457001</v>
      </c>
      <c r="F467" s="7">
        <f t="shared" si="2"/>
        <v>0.003522260545</v>
      </c>
      <c r="G467" s="5">
        <f t="shared" si="3"/>
        <v>0.1450275634</v>
      </c>
      <c r="H467" s="7">
        <f t="shared" si="4"/>
        <v>0.003522260545</v>
      </c>
      <c r="I467" s="2" t="str">
        <f t="shared" si="5"/>
        <v>2015-04</v>
      </c>
      <c r="J467" s="2">
        <f t="shared" si="6"/>
        <v>2015</v>
      </c>
      <c r="K467" s="2">
        <f t="shared" si="7"/>
        <v>5</v>
      </c>
      <c r="L467" s="2" t="str">
        <f t="shared" si="8"/>
        <v>Thu</v>
      </c>
    </row>
    <row r="468" ht="15.0" customHeight="1">
      <c r="A468" s="4">
        <v>42104.0</v>
      </c>
      <c r="B468" s="2">
        <v>114067.08</v>
      </c>
      <c r="C468" s="2">
        <v>113653.97</v>
      </c>
      <c r="D468" s="2">
        <v>2770.0</v>
      </c>
      <c r="E468" s="5">
        <f t="shared" si="1"/>
        <v>41.17945126</v>
      </c>
      <c r="F468" s="7">
        <f t="shared" si="2"/>
        <v>0.00362164088</v>
      </c>
      <c r="G468" s="5">
        <f t="shared" si="3"/>
        <v>0.1491371841</v>
      </c>
      <c r="H468" s="7">
        <f t="shared" si="4"/>
        <v>0.00362164088</v>
      </c>
      <c r="I468" s="2" t="str">
        <f t="shared" si="5"/>
        <v>2015-04</v>
      </c>
      <c r="J468" s="2">
        <f t="shared" si="6"/>
        <v>2015</v>
      </c>
      <c r="K468" s="2">
        <f t="shared" si="7"/>
        <v>6</v>
      </c>
      <c r="L468" s="2" t="str">
        <f t="shared" si="8"/>
        <v>Fri</v>
      </c>
    </row>
    <row r="469" ht="15.0" customHeight="1">
      <c r="A469" s="4">
        <v>42105.0</v>
      </c>
      <c r="B469" s="2">
        <v>126507.8</v>
      </c>
      <c r="C469" s="2">
        <v>126043.77</v>
      </c>
      <c r="D469" s="2">
        <v>3072.0</v>
      </c>
      <c r="E469" s="5">
        <f t="shared" si="1"/>
        <v>41.18092448</v>
      </c>
      <c r="F469" s="7">
        <f t="shared" si="2"/>
        <v>0.003667995175</v>
      </c>
      <c r="G469" s="5">
        <f t="shared" si="3"/>
        <v>0.1510514323</v>
      </c>
      <c r="H469" s="7">
        <f t="shared" si="4"/>
        <v>0.003667995175</v>
      </c>
      <c r="I469" s="2" t="str">
        <f t="shared" si="5"/>
        <v>2015-04</v>
      </c>
      <c r="J469" s="2">
        <f t="shared" si="6"/>
        <v>2015</v>
      </c>
      <c r="K469" s="2">
        <f t="shared" si="7"/>
        <v>7</v>
      </c>
      <c r="L469" s="2" t="str">
        <f t="shared" si="8"/>
        <v>Sat</v>
      </c>
    </row>
    <row r="470" ht="15.0" customHeight="1">
      <c r="A470" s="4">
        <v>42106.0</v>
      </c>
      <c r="B470" s="2">
        <v>79648.63</v>
      </c>
      <c r="C470" s="2">
        <v>79349.4</v>
      </c>
      <c r="D470" s="2">
        <v>1934.0</v>
      </c>
      <c r="E470" s="5">
        <f t="shared" si="1"/>
        <v>41.18336608</v>
      </c>
      <c r="F470" s="7">
        <f t="shared" si="2"/>
        <v>0.003756875668</v>
      </c>
      <c r="G470" s="5">
        <f t="shared" si="3"/>
        <v>0.1547207859</v>
      </c>
      <c r="H470" s="7">
        <f t="shared" si="4"/>
        <v>0.003756875668</v>
      </c>
      <c r="I470" s="2" t="str">
        <f t="shared" si="5"/>
        <v>2015-04</v>
      </c>
      <c r="J470" s="2">
        <f t="shared" si="6"/>
        <v>2015</v>
      </c>
      <c r="K470" s="2">
        <f t="shared" si="7"/>
        <v>1</v>
      </c>
      <c r="L470" s="2" t="str">
        <f t="shared" si="8"/>
        <v>Sun</v>
      </c>
    </row>
    <row r="471" ht="15.0" customHeight="1">
      <c r="A471" s="4">
        <v>42107.0</v>
      </c>
      <c r="B471" s="2">
        <v>83137.43</v>
      </c>
      <c r="C471" s="2">
        <v>82700.35</v>
      </c>
      <c r="D471" s="2">
        <v>2019.0</v>
      </c>
      <c r="E471" s="5">
        <f t="shared" si="1"/>
        <v>41.17752848</v>
      </c>
      <c r="F471" s="7">
        <f t="shared" si="2"/>
        <v>0.005257319116</v>
      </c>
      <c r="G471" s="5">
        <f t="shared" si="3"/>
        <v>0.2164834076</v>
      </c>
      <c r="H471" s="7">
        <f t="shared" si="4"/>
        <v>0.005257319116</v>
      </c>
      <c r="I471" s="2" t="str">
        <f t="shared" si="5"/>
        <v>2015-04</v>
      </c>
      <c r="J471" s="2">
        <f t="shared" si="6"/>
        <v>2015</v>
      </c>
      <c r="K471" s="2">
        <f t="shared" si="7"/>
        <v>2</v>
      </c>
      <c r="L471" s="2" t="str">
        <f t="shared" si="8"/>
        <v>Mon</v>
      </c>
    </row>
    <row r="472" ht="15.0" customHeight="1">
      <c r="A472" s="4">
        <v>42108.0</v>
      </c>
      <c r="B472" s="2">
        <v>40776.03</v>
      </c>
      <c r="C472" s="2">
        <v>39940.2</v>
      </c>
      <c r="D472" s="2">
        <v>979.0</v>
      </c>
      <c r="E472" s="5">
        <f t="shared" si="1"/>
        <v>41.65069459</v>
      </c>
      <c r="F472" s="7">
        <f t="shared" si="2"/>
        <v>0.02049807203</v>
      </c>
      <c r="G472" s="5">
        <f t="shared" si="3"/>
        <v>0.8537589377</v>
      </c>
      <c r="H472" s="7">
        <f t="shared" si="4"/>
        <v>0.02049807203</v>
      </c>
      <c r="I472" s="2" t="str">
        <f t="shared" si="5"/>
        <v>2015-04</v>
      </c>
      <c r="J472" s="2">
        <f t="shared" si="6"/>
        <v>2015</v>
      </c>
      <c r="K472" s="2">
        <f t="shared" si="7"/>
        <v>3</v>
      </c>
      <c r="L472" s="2" t="str">
        <f t="shared" si="8"/>
        <v>Tue</v>
      </c>
    </row>
    <row r="473" ht="15.0" customHeight="1">
      <c r="A473" s="4">
        <v>42109.0</v>
      </c>
      <c r="B473" s="2">
        <v>58278.46</v>
      </c>
      <c r="C473" s="2">
        <v>56969.92</v>
      </c>
      <c r="D473" s="2">
        <v>1398.0</v>
      </c>
      <c r="E473" s="5">
        <f t="shared" si="1"/>
        <v>41.68702432</v>
      </c>
      <c r="F473" s="7">
        <f t="shared" si="2"/>
        <v>0.02245323572</v>
      </c>
      <c r="G473" s="5">
        <f t="shared" si="3"/>
        <v>0.9360085837</v>
      </c>
      <c r="H473" s="7">
        <f t="shared" si="4"/>
        <v>0.02245323572</v>
      </c>
      <c r="I473" s="2" t="str">
        <f t="shared" si="5"/>
        <v>2015-04</v>
      </c>
      <c r="J473" s="2">
        <f t="shared" si="6"/>
        <v>2015</v>
      </c>
      <c r="K473" s="2">
        <f t="shared" si="7"/>
        <v>4</v>
      </c>
      <c r="L473" s="2" t="str">
        <f t="shared" si="8"/>
        <v>Wed</v>
      </c>
    </row>
    <row r="474" ht="15.0" customHeight="1">
      <c r="A474" s="4">
        <v>42110.0</v>
      </c>
      <c r="B474" s="2">
        <v>50000.1</v>
      </c>
      <c r="C474" s="2">
        <v>48827.89</v>
      </c>
      <c r="D474" s="2">
        <v>1198.0</v>
      </c>
      <c r="E474" s="5">
        <f t="shared" si="1"/>
        <v>41.73631052</v>
      </c>
      <c r="F474" s="7">
        <f t="shared" si="2"/>
        <v>0.02344415311</v>
      </c>
      <c r="G474" s="5">
        <f t="shared" si="3"/>
        <v>0.9784724541</v>
      </c>
      <c r="H474" s="7">
        <f t="shared" si="4"/>
        <v>0.02344415311</v>
      </c>
      <c r="I474" s="2" t="str">
        <f t="shared" si="5"/>
        <v>2015-04</v>
      </c>
      <c r="J474" s="2">
        <f t="shared" si="6"/>
        <v>2015</v>
      </c>
      <c r="K474" s="2">
        <f t="shared" si="7"/>
        <v>5</v>
      </c>
      <c r="L474" s="2" t="str">
        <f t="shared" si="8"/>
        <v>Thu</v>
      </c>
    </row>
    <row r="475" ht="15.0" customHeight="1">
      <c r="A475" s="4">
        <v>42111.0</v>
      </c>
      <c r="B475" s="2">
        <v>103911.92</v>
      </c>
      <c r="C475" s="2">
        <v>101408.95</v>
      </c>
      <c r="D475" s="2">
        <v>2485.0</v>
      </c>
      <c r="E475" s="5">
        <f t="shared" si="1"/>
        <v>41.81566197</v>
      </c>
      <c r="F475" s="7">
        <f t="shared" si="2"/>
        <v>0.02408741942</v>
      </c>
      <c r="G475" s="5">
        <f t="shared" si="3"/>
        <v>1.007231388</v>
      </c>
      <c r="H475" s="7">
        <f t="shared" si="4"/>
        <v>0.02408741942</v>
      </c>
      <c r="I475" s="2" t="str">
        <f t="shared" si="5"/>
        <v>2015-04</v>
      </c>
      <c r="J475" s="2">
        <f t="shared" si="6"/>
        <v>2015</v>
      </c>
      <c r="K475" s="2">
        <f t="shared" si="7"/>
        <v>6</v>
      </c>
      <c r="L475" s="2" t="str">
        <f t="shared" si="8"/>
        <v>Fri</v>
      </c>
    </row>
    <row r="476" ht="15.0" customHeight="1">
      <c r="A476" s="4">
        <v>42112.0</v>
      </c>
      <c r="B476" s="2">
        <v>132843.22</v>
      </c>
      <c r="C476" s="2">
        <v>129545.53</v>
      </c>
      <c r="D476" s="2">
        <v>3172.0</v>
      </c>
      <c r="E476" s="5">
        <f t="shared" si="1"/>
        <v>41.87995586</v>
      </c>
      <c r="F476" s="7">
        <f t="shared" si="2"/>
        <v>0.02482392402</v>
      </c>
      <c r="G476" s="5">
        <f t="shared" si="3"/>
        <v>1.039624842</v>
      </c>
      <c r="H476" s="7">
        <f t="shared" si="4"/>
        <v>0.02482392402</v>
      </c>
      <c r="I476" s="2" t="str">
        <f t="shared" si="5"/>
        <v>2015-04</v>
      </c>
      <c r="J476" s="2">
        <f t="shared" si="6"/>
        <v>2015</v>
      </c>
      <c r="K476" s="2">
        <f t="shared" si="7"/>
        <v>7</v>
      </c>
      <c r="L476" s="2" t="str">
        <f t="shared" si="8"/>
        <v>Sat</v>
      </c>
    </row>
    <row r="477" ht="15.0" customHeight="1">
      <c r="A477" s="4">
        <v>42113.0</v>
      </c>
      <c r="B477" s="2">
        <v>62786.61</v>
      </c>
      <c r="C477" s="2">
        <v>61213.26</v>
      </c>
      <c r="D477" s="2">
        <v>1497.0</v>
      </c>
      <c r="E477" s="5">
        <f t="shared" si="1"/>
        <v>41.94162325</v>
      </c>
      <c r="F477" s="7">
        <f t="shared" si="2"/>
        <v>0.02505868688</v>
      </c>
      <c r="G477" s="5">
        <f t="shared" si="3"/>
        <v>1.051002004</v>
      </c>
      <c r="H477" s="7">
        <f t="shared" si="4"/>
        <v>0.02505868688</v>
      </c>
      <c r="I477" s="2" t="str">
        <f t="shared" si="5"/>
        <v>2015-04</v>
      </c>
      <c r="J477" s="2">
        <f t="shared" si="6"/>
        <v>2015</v>
      </c>
      <c r="K477" s="2">
        <f t="shared" si="7"/>
        <v>1</v>
      </c>
      <c r="L477" s="2" t="str">
        <f t="shared" si="8"/>
        <v>Sun</v>
      </c>
    </row>
    <row r="478" ht="15.0" customHeight="1">
      <c r="A478" s="4">
        <v>42114.0</v>
      </c>
      <c r="B478" s="2">
        <v>57233.41</v>
      </c>
      <c r="C478" s="2">
        <v>55706.88</v>
      </c>
      <c r="D478" s="2">
        <v>1365.0</v>
      </c>
      <c r="E478" s="5">
        <f t="shared" si="1"/>
        <v>41.9292381</v>
      </c>
      <c r="F478" s="7">
        <f t="shared" si="2"/>
        <v>0.02667200853</v>
      </c>
      <c r="G478" s="5">
        <f t="shared" si="3"/>
        <v>1.118336996</v>
      </c>
      <c r="H478" s="7">
        <f t="shared" si="4"/>
        <v>0.02667200853</v>
      </c>
      <c r="I478" s="2" t="str">
        <f t="shared" si="5"/>
        <v>2015-04</v>
      </c>
      <c r="J478" s="2">
        <f t="shared" si="6"/>
        <v>2015</v>
      </c>
      <c r="K478" s="2">
        <f t="shared" si="7"/>
        <v>2</v>
      </c>
      <c r="L478" s="2" t="str">
        <f t="shared" si="8"/>
        <v>Mon</v>
      </c>
    </row>
    <row r="479" ht="15.0" customHeight="1">
      <c r="A479" s="4">
        <v>42115.0</v>
      </c>
      <c r="B479" s="2">
        <v>56874.35</v>
      </c>
      <c r="C479" s="2">
        <v>55172.17</v>
      </c>
      <c r="D479" s="2">
        <v>1353.0</v>
      </c>
      <c r="E479" s="5">
        <f t="shared" si="1"/>
        <v>42.0357354</v>
      </c>
      <c r="F479" s="7">
        <f t="shared" si="2"/>
        <v>0.0299287816</v>
      </c>
      <c r="G479" s="5">
        <f t="shared" si="3"/>
        <v>1.258078344</v>
      </c>
      <c r="H479" s="7">
        <f t="shared" si="4"/>
        <v>0.0299287816</v>
      </c>
      <c r="I479" s="2" t="str">
        <f t="shared" si="5"/>
        <v>2015-04</v>
      </c>
      <c r="J479" s="2">
        <f t="shared" si="6"/>
        <v>2015</v>
      </c>
      <c r="K479" s="2">
        <f t="shared" si="7"/>
        <v>3</v>
      </c>
      <c r="L479" s="2" t="str">
        <f t="shared" si="8"/>
        <v>Tue</v>
      </c>
    </row>
    <row r="480" ht="15.0" customHeight="1">
      <c r="A480" s="4">
        <v>42116.0</v>
      </c>
      <c r="B480" s="2">
        <v>132737.74</v>
      </c>
      <c r="C480" s="2">
        <v>140263.93</v>
      </c>
      <c r="D480" s="2">
        <v>3439.0</v>
      </c>
      <c r="E480" s="5">
        <f t="shared" si="1"/>
        <v>38.59777261</v>
      </c>
      <c r="F480" s="7">
        <f t="shared" si="2"/>
        <v>-0.05669969972</v>
      </c>
      <c r="G480" s="5">
        <f t="shared" si="3"/>
        <v>-2.188482117</v>
      </c>
      <c r="H480" s="7">
        <f t="shared" si="4"/>
        <v>-0.05669969972</v>
      </c>
      <c r="I480" s="2" t="str">
        <f t="shared" si="5"/>
        <v>2015-04</v>
      </c>
      <c r="J480" s="2">
        <f t="shared" si="6"/>
        <v>2015</v>
      </c>
      <c r="K480" s="2">
        <f t="shared" si="7"/>
        <v>4</v>
      </c>
      <c r="L480" s="2" t="str">
        <f t="shared" si="8"/>
        <v>Wed</v>
      </c>
    </row>
    <row r="481" ht="15.0" customHeight="1">
      <c r="A481" s="4">
        <v>42117.0</v>
      </c>
      <c r="B481" s="2">
        <v>60310.34</v>
      </c>
      <c r="C481" s="2">
        <v>58446.05</v>
      </c>
      <c r="D481" s="2">
        <v>1434.0</v>
      </c>
      <c r="E481" s="5">
        <f t="shared" si="1"/>
        <v>42.0574198</v>
      </c>
      <c r="F481" s="7">
        <f t="shared" si="2"/>
        <v>0.03091161482</v>
      </c>
      <c r="G481" s="5">
        <f t="shared" si="3"/>
        <v>1.300062762</v>
      </c>
      <c r="H481" s="7">
        <f t="shared" si="4"/>
        <v>0.03091161482</v>
      </c>
      <c r="I481" s="2" t="str">
        <f t="shared" si="5"/>
        <v>2015-04</v>
      </c>
      <c r="J481" s="2">
        <f t="shared" si="6"/>
        <v>2015</v>
      </c>
      <c r="K481" s="2">
        <f t="shared" si="7"/>
        <v>5</v>
      </c>
      <c r="L481" s="2" t="str">
        <f t="shared" si="8"/>
        <v>Thu</v>
      </c>
    </row>
    <row r="482" ht="15.0" customHeight="1">
      <c r="A482" s="4">
        <v>42118.0</v>
      </c>
      <c r="B482" s="2">
        <v>343587.01</v>
      </c>
      <c r="C482" s="2">
        <v>362390.6</v>
      </c>
      <c r="D482" s="2">
        <v>8892.0</v>
      </c>
      <c r="E482" s="5">
        <f t="shared" si="1"/>
        <v>38.64001462</v>
      </c>
      <c r="F482" s="7">
        <f t="shared" si="2"/>
        <v>-0.05472730183</v>
      </c>
      <c r="G482" s="5">
        <f t="shared" si="3"/>
        <v>-2.114663743</v>
      </c>
      <c r="H482" s="7">
        <f t="shared" si="4"/>
        <v>-0.05472730183</v>
      </c>
      <c r="I482" s="2" t="str">
        <f t="shared" si="5"/>
        <v>2015-04</v>
      </c>
      <c r="J482" s="2">
        <f t="shared" si="6"/>
        <v>2015</v>
      </c>
      <c r="K482" s="2">
        <f t="shared" si="7"/>
        <v>6</v>
      </c>
      <c r="L482" s="2" t="str">
        <f t="shared" si="8"/>
        <v>Fri</v>
      </c>
    </row>
    <row r="483" ht="15.0" customHeight="1">
      <c r="A483" s="4">
        <v>42119.0</v>
      </c>
      <c r="B483" s="2">
        <v>496882.32</v>
      </c>
      <c r="C483" s="2">
        <v>535306.01</v>
      </c>
      <c r="D483" s="2">
        <v>13144.0</v>
      </c>
      <c r="E483" s="5">
        <f t="shared" si="1"/>
        <v>37.80297626</v>
      </c>
      <c r="F483" s="7">
        <f t="shared" si="2"/>
        <v>-0.07732955763</v>
      </c>
      <c r="G483" s="5">
        <f t="shared" si="3"/>
        <v>-2.923287432</v>
      </c>
      <c r="H483" s="7">
        <f t="shared" si="4"/>
        <v>-0.07732955763</v>
      </c>
      <c r="I483" s="2" t="str">
        <f t="shared" si="5"/>
        <v>2015-04</v>
      </c>
      <c r="J483" s="2">
        <f t="shared" si="6"/>
        <v>2015</v>
      </c>
      <c r="K483" s="2">
        <f t="shared" si="7"/>
        <v>7</v>
      </c>
      <c r="L483" s="2" t="str">
        <f t="shared" si="8"/>
        <v>Sat</v>
      </c>
    </row>
    <row r="484" ht="15.0" customHeight="1">
      <c r="A484" s="4">
        <v>42120.0</v>
      </c>
      <c r="B484" s="2">
        <v>200369.83</v>
      </c>
      <c r="C484" s="2">
        <v>210964.77</v>
      </c>
      <c r="D484" s="2">
        <v>5179.0</v>
      </c>
      <c r="E484" s="5">
        <f t="shared" si="1"/>
        <v>38.68890326</v>
      </c>
      <c r="F484" s="7">
        <f t="shared" si="2"/>
        <v>-0.05287692264</v>
      </c>
      <c r="G484" s="5">
        <f t="shared" si="3"/>
        <v>-2.045750145</v>
      </c>
      <c r="H484" s="7">
        <f t="shared" si="4"/>
        <v>-0.05287692264</v>
      </c>
      <c r="I484" s="2" t="str">
        <f t="shared" si="5"/>
        <v>2015-04</v>
      </c>
      <c r="J484" s="2">
        <f t="shared" si="6"/>
        <v>2015</v>
      </c>
      <c r="K484" s="2">
        <f t="shared" si="7"/>
        <v>1</v>
      </c>
      <c r="L484" s="2" t="str">
        <f t="shared" si="8"/>
        <v>Sun</v>
      </c>
    </row>
    <row r="485" ht="15.0" customHeight="1">
      <c r="A485" s="4">
        <v>42121.0</v>
      </c>
      <c r="B485" s="2">
        <v>194028.06</v>
      </c>
      <c r="C485" s="2">
        <v>204053.5</v>
      </c>
      <c r="D485" s="2">
        <v>5014.0</v>
      </c>
      <c r="E485" s="5">
        <f t="shared" si="1"/>
        <v>38.69725967</v>
      </c>
      <c r="F485" s="7">
        <f t="shared" si="2"/>
        <v>-0.05167005226</v>
      </c>
      <c r="G485" s="5">
        <f t="shared" si="3"/>
        <v>-1.99948943</v>
      </c>
      <c r="H485" s="7">
        <f t="shared" si="4"/>
        <v>-0.05167005226</v>
      </c>
      <c r="I485" s="2" t="str">
        <f t="shared" si="5"/>
        <v>2015-04</v>
      </c>
      <c r="J485" s="2">
        <f t="shared" si="6"/>
        <v>2015</v>
      </c>
      <c r="K485" s="2">
        <f t="shared" si="7"/>
        <v>2</v>
      </c>
      <c r="L485" s="2" t="str">
        <f t="shared" si="8"/>
        <v>Mon</v>
      </c>
    </row>
    <row r="486" ht="15.0" customHeight="1">
      <c r="A486" s="4">
        <v>42122.0</v>
      </c>
      <c r="B486" s="2">
        <v>190560.58</v>
      </c>
      <c r="C486" s="2">
        <v>200804.04</v>
      </c>
      <c r="D486" s="2">
        <v>4936.0</v>
      </c>
      <c r="E486" s="5">
        <f t="shared" si="1"/>
        <v>38.60627634</v>
      </c>
      <c r="F486" s="7">
        <f t="shared" si="2"/>
        <v>-0.0537543494</v>
      </c>
      <c r="G486" s="5">
        <f t="shared" si="3"/>
        <v>-2.075255267</v>
      </c>
      <c r="H486" s="7">
        <f t="shared" si="4"/>
        <v>-0.0537543494</v>
      </c>
      <c r="I486" s="2" t="str">
        <f t="shared" si="5"/>
        <v>2015-04</v>
      </c>
      <c r="J486" s="2">
        <f t="shared" si="6"/>
        <v>2015</v>
      </c>
      <c r="K486" s="2">
        <f t="shared" si="7"/>
        <v>3</v>
      </c>
      <c r="L486" s="2" t="str">
        <f t="shared" si="8"/>
        <v>Tue</v>
      </c>
    </row>
    <row r="487" ht="15.0" customHeight="1">
      <c r="A487" s="4">
        <v>42123.0</v>
      </c>
      <c r="B487" s="2">
        <v>198985.4</v>
      </c>
      <c r="C487" s="2">
        <v>209483.88</v>
      </c>
      <c r="D487" s="2">
        <v>5150.0</v>
      </c>
      <c r="E487" s="5">
        <f t="shared" si="1"/>
        <v>38.63794175</v>
      </c>
      <c r="F487" s="7">
        <f t="shared" si="2"/>
        <v>-0.05276005174</v>
      </c>
      <c r="G487" s="5">
        <f t="shared" si="3"/>
        <v>-2.038539806</v>
      </c>
      <c r="H487" s="7">
        <f t="shared" si="4"/>
        <v>-0.05276005174</v>
      </c>
      <c r="I487" s="2" t="str">
        <f t="shared" si="5"/>
        <v>2015-04</v>
      </c>
      <c r="J487" s="2">
        <f t="shared" si="6"/>
        <v>2015</v>
      </c>
      <c r="K487" s="2">
        <f t="shared" si="7"/>
        <v>4</v>
      </c>
      <c r="L487" s="2" t="str">
        <f t="shared" si="8"/>
        <v>Wed</v>
      </c>
    </row>
    <row r="488" ht="15.0" customHeight="1">
      <c r="A488" s="4">
        <v>42124.0</v>
      </c>
      <c r="B488" s="2">
        <v>385482.87</v>
      </c>
      <c r="C488" s="2">
        <v>406252.01</v>
      </c>
      <c r="D488" s="2">
        <v>9986.0</v>
      </c>
      <c r="E488" s="5">
        <f t="shared" si="1"/>
        <v>38.60233026</v>
      </c>
      <c r="F488" s="7">
        <f t="shared" si="2"/>
        <v>-0.05387824367</v>
      </c>
      <c r="G488" s="5">
        <f t="shared" si="3"/>
        <v>-2.079825756</v>
      </c>
      <c r="H488" s="7">
        <f t="shared" si="4"/>
        <v>-0.05387824367</v>
      </c>
      <c r="I488" s="2" t="str">
        <f t="shared" si="5"/>
        <v>2015-04</v>
      </c>
      <c r="J488" s="2">
        <f t="shared" si="6"/>
        <v>2015</v>
      </c>
      <c r="K488" s="2">
        <f t="shared" si="7"/>
        <v>5</v>
      </c>
      <c r="L488" s="2" t="str">
        <f t="shared" si="8"/>
        <v>Thu</v>
      </c>
    </row>
    <row r="489" ht="15.0" customHeight="1">
      <c r="A489" s="4">
        <v>42125.0</v>
      </c>
      <c r="B489" s="2">
        <v>499703.41</v>
      </c>
      <c r="C489" s="2">
        <v>526206.94</v>
      </c>
      <c r="D489" s="2">
        <v>12937.0</v>
      </c>
      <c r="E489" s="5">
        <f t="shared" si="1"/>
        <v>38.62591095</v>
      </c>
      <c r="F489" s="7">
        <f t="shared" si="2"/>
        <v>-0.05303852139</v>
      </c>
      <c r="G489" s="5">
        <f t="shared" si="3"/>
        <v>-2.048661204</v>
      </c>
      <c r="H489" s="7">
        <f t="shared" si="4"/>
        <v>-0.05303852139</v>
      </c>
      <c r="I489" s="2" t="str">
        <f t="shared" si="5"/>
        <v>2015-05</v>
      </c>
      <c r="J489" s="2">
        <f t="shared" si="6"/>
        <v>2015</v>
      </c>
      <c r="K489" s="2">
        <f t="shared" si="7"/>
        <v>6</v>
      </c>
      <c r="L489" s="2" t="str">
        <f t="shared" si="8"/>
        <v>Fri</v>
      </c>
    </row>
    <row r="490" ht="15.0" customHeight="1">
      <c r="A490" s="4">
        <v>42126.0</v>
      </c>
      <c r="B490" s="2">
        <v>461667.0</v>
      </c>
      <c r="C490" s="2">
        <v>496852.8</v>
      </c>
      <c r="D490" s="2">
        <v>12217.0</v>
      </c>
      <c r="E490" s="5">
        <f t="shared" si="1"/>
        <v>37.78890071</v>
      </c>
      <c r="F490" s="7">
        <f t="shared" si="2"/>
        <v>-0.07621467421</v>
      </c>
      <c r="G490" s="5">
        <f t="shared" si="3"/>
        <v>-2.880068757</v>
      </c>
      <c r="H490" s="7">
        <f t="shared" si="4"/>
        <v>-0.07621467421</v>
      </c>
      <c r="I490" s="2" t="str">
        <f t="shared" si="5"/>
        <v>2015-05</v>
      </c>
      <c r="J490" s="2">
        <f t="shared" si="6"/>
        <v>2015</v>
      </c>
      <c r="K490" s="2">
        <f t="shared" si="7"/>
        <v>7</v>
      </c>
      <c r="L490" s="2" t="str">
        <f t="shared" si="8"/>
        <v>Sat</v>
      </c>
    </row>
    <row r="491" ht="15.0" customHeight="1">
      <c r="A491" s="4">
        <v>42127.0</v>
      </c>
      <c r="B491" s="2">
        <v>259541.61</v>
      </c>
      <c r="C491" s="2">
        <v>273280.05</v>
      </c>
      <c r="D491" s="2">
        <v>6721.0</v>
      </c>
      <c r="E491" s="5">
        <f t="shared" si="1"/>
        <v>38.61651689</v>
      </c>
      <c r="F491" s="7">
        <f t="shared" si="2"/>
        <v>-0.0529334776</v>
      </c>
      <c r="G491" s="5">
        <f t="shared" si="3"/>
        <v>-2.044106532</v>
      </c>
      <c r="H491" s="7">
        <f t="shared" si="4"/>
        <v>-0.0529334776</v>
      </c>
      <c r="I491" s="2" t="str">
        <f t="shared" si="5"/>
        <v>2015-05</v>
      </c>
      <c r="J491" s="2">
        <f t="shared" si="6"/>
        <v>2015</v>
      </c>
      <c r="K491" s="2">
        <f t="shared" si="7"/>
        <v>1</v>
      </c>
      <c r="L491" s="2" t="str">
        <f t="shared" si="8"/>
        <v>Sun</v>
      </c>
    </row>
    <row r="492" ht="15.0" customHeight="1">
      <c r="A492" s="4">
        <v>42128.0</v>
      </c>
      <c r="B492" s="2">
        <v>320309.27</v>
      </c>
      <c r="C492" s="2">
        <v>336742.6</v>
      </c>
      <c r="D492" s="2">
        <v>8283.0</v>
      </c>
      <c r="E492" s="5">
        <f t="shared" si="1"/>
        <v>38.67068333</v>
      </c>
      <c r="F492" s="7">
        <f t="shared" si="2"/>
        <v>-0.05130457198</v>
      </c>
      <c r="G492" s="5">
        <f t="shared" si="3"/>
        <v>-1.983982856</v>
      </c>
      <c r="H492" s="7">
        <f t="shared" si="4"/>
        <v>-0.05130457198</v>
      </c>
      <c r="I492" s="2" t="str">
        <f t="shared" si="5"/>
        <v>2015-05</v>
      </c>
      <c r="J492" s="2">
        <f t="shared" si="6"/>
        <v>2015</v>
      </c>
      <c r="K492" s="2">
        <f t="shared" si="7"/>
        <v>2</v>
      </c>
      <c r="L492" s="2" t="str">
        <f t="shared" si="8"/>
        <v>Mon</v>
      </c>
    </row>
    <row r="493" ht="15.0" customHeight="1">
      <c r="A493" s="4">
        <v>42129.0</v>
      </c>
      <c r="B493" s="2">
        <v>239923.0</v>
      </c>
      <c r="C493" s="2">
        <v>251700.97</v>
      </c>
      <c r="D493" s="2">
        <v>6191.0</v>
      </c>
      <c r="E493" s="5">
        <f t="shared" si="1"/>
        <v>38.75351316</v>
      </c>
      <c r="F493" s="7">
        <f t="shared" si="2"/>
        <v>-0.04909062491</v>
      </c>
      <c r="G493" s="5">
        <f t="shared" si="3"/>
        <v>-1.902434179</v>
      </c>
      <c r="H493" s="7">
        <f t="shared" si="4"/>
        <v>-0.04909062491</v>
      </c>
      <c r="I493" s="2" t="str">
        <f t="shared" si="5"/>
        <v>2015-05</v>
      </c>
      <c r="J493" s="2">
        <f t="shared" si="6"/>
        <v>2015</v>
      </c>
      <c r="K493" s="2">
        <f t="shared" si="7"/>
        <v>3</v>
      </c>
      <c r="L493" s="2" t="str">
        <f t="shared" si="8"/>
        <v>Tue</v>
      </c>
    </row>
    <row r="494" ht="15.0" customHeight="1">
      <c r="A494" s="4">
        <v>42130.0</v>
      </c>
      <c r="B494" s="2">
        <v>224994.2</v>
      </c>
      <c r="C494" s="2">
        <v>242259.86</v>
      </c>
      <c r="D494" s="2">
        <v>5959.0</v>
      </c>
      <c r="E494" s="5">
        <f t="shared" si="1"/>
        <v>37.75703977</v>
      </c>
      <c r="F494" s="7">
        <f t="shared" si="2"/>
        <v>-0.07673824481</v>
      </c>
      <c r="G494" s="5">
        <f t="shared" si="3"/>
        <v>-2.897408961</v>
      </c>
      <c r="H494" s="7">
        <f t="shared" si="4"/>
        <v>-0.07673824481</v>
      </c>
      <c r="I494" s="2" t="str">
        <f t="shared" si="5"/>
        <v>2015-05</v>
      </c>
      <c r="J494" s="2">
        <f t="shared" si="6"/>
        <v>2015</v>
      </c>
      <c r="K494" s="2">
        <f t="shared" si="7"/>
        <v>4</v>
      </c>
      <c r="L494" s="2" t="str">
        <f t="shared" si="8"/>
        <v>Wed</v>
      </c>
    </row>
    <row r="495" ht="15.0" customHeight="1">
      <c r="A495" s="4">
        <v>42131.0</v>
      </c>
      <c r="B495" s="2">
        <v>117197.97</v>
      </c>
      <c r="C495" s="2">
        <v>115769.09</v>
      </c>
      <c r="D495" s="2">
        <v>2848.0</v>
      </c>
      <c r="E495" s="5">
        <f t="shared" si="1"/>
        <v>41.15097261</v>
      </c>
      <c r="F495" s="7">
        <f t="shared" si="2"/>
        <v>0.01219202005</v>
      </c>
      <c r="G495" s="5">
        <f t="shared" si="3"/>
        <v>0.5017134831</v>
      </c>
      <c r="H495" s="7">
        <f t="shared" si="4"/>
        <v>0.01219202005</v>
      </c>
      <c r="I495" s="2" t="str">
        <f t="shared" si="5"/>
        <v>2015-05</v>
      </c>
      <c r="J495" s="2">
        <f t="shared" si="6"/>
        <v>2015</v>
      </c>
      <c r="K495" s="2">
        <f t="shared" si="7"/>
        <v>5</v>
      </c>
      <c r="L495" s="2" t="str">
        <f t="shared" si="8"/>
        <v>Thu</v>
      </c>
    </row>
    <row r="496" ht="15.0" customHeight="1">
      <c r="A496" s="4">
        <v>42132.0</v>
      </c>
      <c r="B496" s="2">
        <v>330589.2</v>
      </c>
      <c r="C496" s="2">
        <v>355565.04</v>
      </c>
      <c r="D496" s="2">
        <v>8748.0</v>
      </c>
      <c r="E496" s="5">
        <f t="shared" si="1"/>
        <v>37.79026063</v>
      </c>
      <c r="F496" s="7">
        <f t="shared" si="2"/>
        <v>-0.07554947349</v>
      </c>
      <c r="G496" s="5">
        <f t="shared" si="3"/>
        <v>-2.855034294</v>
      </c>
      <c r="H496" s="7">
        <f t="shared" si="4"/>
        <v>-0.07554947349</v>
      </c>
      <c r="I496" s="2" t="str">
        <f t="shared" si="5"/>
        <v>2015-05</v>
      </c>
      <c r="J496" s="2">
        <f t="shared" si="6"/>
        <v>2015</v>
      </c>
      <c r="K496" s="2">
        <f t="shared" si="7"/>
        <v>6</v>
      </c>
      <c r="L496" s="2" t="str">
        <f t="shared" si="8"/>
        <v>Fri</v>
      </c>
    </row>
    <row r="497" ht="15.0" customHeight="1">
      <c r="A497" s="4">
        <v>42133.0</v>
      </c>
      <c r="B497" s="2">
        <v>389972.12</v>
      </c>
      <c r="C497" s="2">
        <v>419827.14</v>
      </c>
      <c r="D497" s="2">
        <v>10329.0</v>
      </c>
      <c r="E497" s="5">
        <f t="shared" si="1"/>
        <v>37.75507019</v>
      </c>
      <c r="F497" s="7">
        <f t="shared" si="2"/>
        <v>-0.07655680616</v>
      </c>
      <c r="G497" s="5">
        <f t="shared" si="3"/>
        <v>-2.89040759</v>
      </c>
      <c r="H497" s="7">
        <f t="shared" si="4"/>
        <v>-0.07655680616</v>
      </c>
      <c r="I497" s="2" t="str">
        <f t="shared" si="5"/>
        <v>2015-05</v>
      </c>
      <c r="J497" s="2">
        <f t="shared" si="6"/>
        <v>2015</v>
      </c>
      <c r="K497" s="2">
        <f t="shared" si="7"/>
        <v>7</v>
      </c>
      <c r="L497" s="2" t="str">
        <f t="shared" si="8"/>
        <v>Sat</v>
      </c>
    </row>
    <row r="498" ht="15.0" customHeight="1">
      <c r="A498" s="4">
        <v>42134.0</v>
      </c>
      <c r="B498" s="2">
        <v>166536.0</v>
      </c>
      <c r="C498" s="2">
        <v>179243.05</v>
      </c>
      <c r="D498" s="2">
        <v>4410.0</v>
      </c>
      <c r="E498" s="5">
        <f t="shared" si="1"/>
        <v>37.76326531</v>
      </c>
      <c r="F498" s="7">
        <f t="shared" si="2"/>
        <v>-0.07630212086</v>
      </c>
      <c r="G498" s="5">
        <f t="shared" si="3"/>
        <v>-2.881417234</v>
      </c>
      <c r="H498" s="7">
        <f t="shared" si="4"/>
        <v>-0.07630212086</v>
      </c>
      <c r="I498" s="2" t="str">
        <f t="shared" si="5"/>
        <v>2015-05</v>
      </c>
      <c r="J498" s="2">
        <f t="shared" si="6"/>
        <v>2015</v>
      </c>
      <c r="K498" s="2">
        <f t="shared" si="7"/>
        <v>1</v>
      </c>
      <c r="L498" s="2" t="str">
        <f t="shared" si="8"/>
        <v>Sun</v>
      </c>
    </row>
    <row r="499" ht="15.0" customHeight="1">
      <c r="A499" s="4">
        <v>42135.0</v>
      </c>
      <c r="B499" s="2">
        <v>198442.91</v>
      </c>
      <c r="C499" s="2">
        <v>213676.43</v>
      </c>
      <c r="D499" s="2">
        <v>5257.0</v>
      </c>
      <c r="E499" s="5">
        <f t="shared" si="1"/>
        <v>37.74831843</v>
      </c>
      <c r="F499" s="7">
        <f t="shared" si="2"/>
        <v>-0.07676525203</v>
      </c>
      <c r="G499" s="5">
        <f t="shared" si="3"/>
        <v>-2.897759178</v>
      </c>
      <c r="H499" s="7">
        <f t="shared" si="4"/>
        <v>-0.07676525203</v>
      </c>
      <c r="I499" s="2" t="str">
        <f t="shared" si="5"/>
        <v>2015-05</v>
      </c>
      <c r="J499" s="2">
        <f t="shared" si="6"/>
        <v>2015</v>
      </c>
      <c r="K499" s="2">
        <f t="shared" si="7"/>
        <v>2</v>
      </c>
      <c r="L499" s="2" t="str">
        <f t="shared" si="8"/>
        <v>Mon</v>
      </c>
    </row>
    <row r="500" ht="15.0" customHeight="1">
      <c r="A500" s="4">
        <v>42136.0</v>
      </c>
      <c r="B500" s="2">
        <v>193182.15</v>
      </c>
      <c r="C500" s="2">
        <v>208039.17</v>
      </c>
      <c r="D500" s="2">
        <v>5118.0</v>
      </c>
      <c r="E500" s="5">
        <f t="shared" si="1"/>
        <v>37.74563306</v>
      </c>
      <c r="F500" s="7">
        <f t="shared" si="2"/>
        <v>-0.07690679496</v>
      </c>
      <c r="G500" s="5">
        <f t="shared" si="3"/>
        <v>-2.902895662</v>
      </c>
      <c r="H500" s="7">
        <f t="shared" si="4"/>
        <v>-0.07690679496</v>
      </c>
      <c r="I500" s="2" t="str">
        <f t="shared" si="5"/>
        <v>2015-05</v>
      </c>
      <c r="J500" s="2">
        <f t="shared" si="6"/>
        <v>2015</v>
      </c>
      <c r="K500" s="2">
        <f t="shared" si="7"/>
        <v>3</v>
      </c>
      <c r="L500" s="2" t="str">
        <f t="shared" si="8"/>
        <v>Tue</v>
      </c>
    </row>
    <row r="501" ht="15.0" customHeight="1">
      <c r="A501" s="4">
        <v>42137.0</v>
      </c>
      <c r="B501" s="2">
        <v>166403.13</v>
      </c>
      <c r="C501" s="2">
        <v>179221.57</v>
      </c>
      <c r="D501" s="2">
        <v>4410.0</v>
      </c>
      <c r="E501" s="5">
        <f t="shared" si="1"/>
        <v>37.73313605</v>
      </c>
      <c r="F501" s="7">
        <f t="shared" si="2"/>
        <v>-0.07703244524</v>
      </c>
      <c r="G501" s="5">
        <f t="shared" si="3"/>
        <v>-2.906675737</v>
      </c>
      <c r="H501" s="7">
        <f t="shared" si="4"/>
        <v>-0.07703244524</v>
      </c>
      <c r="I501" s="2" t="str">
        <f t="shared" si="5"/>
        <v>2015-05</v>
      </c>
      <c r="J501" s="2">
        <f t="shared" si="6"/>
        <v>2015</v>
      </c>
      <c r="K501" s="2">
        <f t="shared" si="7"/>
        <v>4</v>
      </c>
      <c r="L501" s="2" t="str">
        <f t="shared" si="8"/>
        <v>Wed</v>
      </c>
    </row>
    <row r="502" ht="15.0" customHeight="1">
      <c r="A502" s="4">
        <v>42138.0</v>
      </c>
      <c r="B502" s="2">
        <v>149178.6</v>
      </c>
      <c r="C502" s="2">
        <v>160620.21</v>
      </c>
      <c r="D502" s="2">
        <v>3952.0</v>
      </c>
      <c r="E502" s="5">
        <f t="shared" si="1"/>
        <v>37.74762146</v>
      </c>
      <c r="F502" s="7">
        <f t="shared" si="2"/>
        <v>-0.07669739493</v>
      </c>
      <c r="G502" s="5">
        <f t="shared" si="3"/>
        <v>-2.895144231</v>
      </c>
      <c r="H502" s="7">
        <f t="shared" si="4"/>
        <v>-0.07669739493</v>
      </c>
      <c r="I502" s="2" t="str">
        <f t="shared" si="5"/>
        <v>2015-05</v>
      </c>
      <c r="J502" s="2">
        <f t="shared" si="6"/>
        <v>2015</v>
      </c>
      <c r="K502" s="2">
        <f t="shared" si="7"/>
        <v>5</v>
      </c>
      <c r="L502" s="2" t="str">
        <f t="shared" si="8"/>
        <v>Thu</v>
      </c>
    </row>
    <row r="503" ht="15.0" customHeight="1">
      <c r="A503" s="4">
        <v>42139.0</v>
      </c>
      <c r="B503" s="2">
        <v>380592.58</v>
      </c>
      <c r="C503" s="2">
        <v>409812.43</v>
      </c>
      <c r="D503" s="2">
        <v>10084.0</v>
      </c>
      <c r="E503" s="5">
        <f t="shared" si="1"/>
        <v>37.74222332</v>
      </c>
      <c r="F503" s="7">
        <f t="shared" si="2"/>
        <v>-0.07677461815</v>
      </c>
      <c r="G503" s="5">
        <f t="shared" si="3"/>
        <v>-2.897644784</v>
      </c>
      <c r="H503" s="7">
        <f t="shared" si="4"/>
        <v>-0.07677461815</v>
      </c>
      <c r="I503" s="2" t="str">
        <f t="shared" si="5"/>
        <v>2015-05</v>
      </c>
      <c r="J503" s="2">
        <f t="shared" si="6"/>
        <v>2015</v>
      </c>
      <c r="K503" s="2">
        <f t="shared" si="7"/>
        <v>6</v>
      </c>
      <c r="L503" s="2" t="str">
        <f t="shared" si="8"/>
        <v>Fri</v>
      </c>
    </row>
    <row r="504" ht="15.0" customHeight="1">
      <c r="A504" s="4">
        <v>42140.0</v>
      </c>
      <c r="B504" s="2">
        <v>413700.18</v>
      </c>
      <c r="C504" s="2">
        <v>445569.72</v>
      </c>
      <c r="D504" s="2">
        <v>10964.0</v>
      </c>
      <c r="E504" s="5">
        <f t="shared" si="1"/>
        <v>37.73259577</v>
      </c>
      <c r="F504" s="7">
        <f t="shared" si="2"/>
        <v>-0.07703535444</v>
      </c>
      <c r="G504" s="5">
        <f t="shared" si="3"/>
        <v>-2.906743889</v>
      </c>
      <c r="H504" s="7">
        <f t="shared" si="4"/>
        <v>-0.07703535444</v>
      </c>
      <c r="I504" s="2" t="str">
        <f t="shared" si="5"/>
        <v>2015-05</v>
      </c>
      <c r="J504" s="2">
        <f t="shared" si="6"/>
        <v>2015</v>
      </c>
      <c r="K504" s="2">
        <f t="shared" si="7"/>
        <v>7</v>
      </c>
      <c r="L504" s="2" t="str">
        <f t="shared" si="8"/>
        <v>Sat</v>
      </c>
    </row>
    <row r="505" ht="15.0" customHeight="1">
      <c r="A505" s="4">
        <v>42141.0</v>
      </c>
      <c r="B505" s="2">
        <v>177159.67</v>
      </c>
      <c r="C505" s="2">
        <v>190811.58</v>
      </c>
      <c r="D505" s="2">
        <v>4695.0</v>
      </c>
      <c r="E505" s="5">
        <f t="shared" si="1"/>
        <v>37.73368903</v>
      </c>
      <c r="F505" s="7">
        <f t="shared" si="2"/>
        <v>-0.07705992001</v>
      </c>
      <c r="G505" s="5">
        <f t="shared" si="3"/>
        <v>-2.907755059</v>
      </c>
      <c r="H505" s="7">
        <f t="shared" si="4"/>
        <v>-0.07705992001</v>
      </c>
      <c r="I505" s="2" t="str">
        <f t="shared" si="5"/>
        <v>2015-05</v>
      </c>
      <c r="J505" s="2">
        <f t="shared" si="6"/>
        <v>2015</v>
      </c>
      <c r="K505" s="2">
        <f t="shared" si="7"/>
        <v>1</v>
      </c>
      <c r="L505" s="2" t="str">
        <f t="shared" si="8"/>
        <v>Sun</v>
      </c>
    </row>
    <row r="506" ht="15.0" customHeight="1">
      <c r="A506" s="4">
        <v>42142.0</v>
      </c>
      <c r="B506" s="2">
        <v>196420.76</v>
      </c>
      <c r="C506" s="2">
        <v>211510.79</v>
      </c>
      <c r="D506" s="2">
        <v>5205.0</v>
      </c>
      <c r="E506" s="5">
        <f t="shared" si="1"/>
        <v>37.73693756</v>
      </c>
      <c r="F506" s="7">
        <f t="shared" si="2"/>
        <v>-0.07682502603</v>
      </c>
      <c r="G506" s="5">
        <f t="shared" si="3"/>
        <v>-2.89914121</v>
      </c>
      <c r="H506" s="7">
        <f t="shared" si="4"/>
        <v>-0.07682502603</v>
      </c>
      <c r="I506" s="2" t="str">
        <f t="shared" si="5"/>
        <v>2015-05</v>
      </c>
      <c r="J506" s="2">
        <f t="shared" si="6"/>
        <v>2015</v>
      </c>
      <c r="K506" s="2">
        <f t="shared" si="7"/>
        <v>2</v>
      </c>
      <c r="L506" s="2" t="str">
        <f t="shared" si="8"/>
        <v>Mon</v>
      </c>
    </row>
    <row r="507" ht="15.0" customHeight="1">
      <c r="A507" s="4">
        <v>42143.0</v>
      </c>
      <c r="B507" s="2">
        <v>137940.87</v>
      </c>
      <c r="C507" s="2">
        <v>147846.05</v>
      </c>
      <c r="D507" s="2">
        <v>3638.0</v>
      </c>
      <c r="E507" s="5">
        <f t="shared" si="1"/>
        <v>37.91667675</v>
      </c>
      <c r="F507" s="7">
        <f t="shared" si="2"/>
        <v>-0.07180743459</v>
      </c>
      <c r="G507" s="5">
        <f t="shared" si="3"/>
        <v>-2.722699285</v>
      </c>
      <c r="H507" s="7">
        <f t="shared" si="4"/>
        <v>-0.07180743459</v>
      </c>
      <c r="I507" s="2" t="str">
        <f t="shared" si="5"/>
        <v>2015-05</v>
      </c>
      <c r="J507" s="2">
        <f t="shared" si="6"/>
        <v>2015</v>
      </c>
      <c r="K507" s="2">
        <f t="shared" si="7"/>
        <v>3</v>
      </c>
      <c r="L507" s="2" t="str">
        <f t="shared" si="8"/>
        <v>Tue</v>
      </c>
    </row>
    <row r="508" ht="15.0" customHeight="1">
      <c r="A508" s="4">
        <v>42144.0</v>
      </c>
      <c r="B508" s="2">
        <v>166176.28</v>
      </c>
      <c r="C508" s="2">
        <v>178568.18</v>
      </c>
      <c r="D508" s="2">
        <v>4394.0</v>
      </c>
      <c r="E508" s="5">
        <f t="shared" si="1"/>
        <v>37.8189076</v>
      </c>
      <c r="F508" s="7">
        <f t="shared" si="2"/>
        <v>-0.07457081119</v>
      </c>
      <c r="G508" s="5">
        <f t="shared" si="3"/>
        <v>-2.820186618</v>
      </c>
      <c r="H508" s="7">
        <f t="shared" si="4"/>
        <v>-0.07457081119</v>
      </c>
      <c r="I508" s="2" t="str">
        <f t="shared" si="5"/>
        <v>2015-05</v>
      </c>
      <c r="J508" s="2">
        <f t="shared" si="6"/>
        <v>2015</v>
      </c>
      <c r="K508" s="2">
        <f t="shared" si="7"/>
        <v>4</v>
      </c>
      <c r="L508" s="2" t="str">
        <f t="shared" si="8"/>
        <v>Wed</v>
      </c>
    </row>
    <row r="509" ht="15.0" customHeight="1">
      <c r="A509" s="4">
        <v>42145.0</v>
      </c>
      <c r="B509" s="2">
        <v>84604.38</v>
      </c>
      <c r="C509" s="2">
        <v>81763.27</v>
      </c>
      <c r="D509" s="2">
        <v>2012.0</v>
      </c>
      <c r="E509" s="5">
        <f t="shared" si="1"/>
        <v>42.04989066</v>
      </c>
      <c r="F509" s="7">
        <f t="shared" si="2"/>
        <v>0.03358112192</v>
      </c>
      <c r="G509" s="5">
        <f t="shared" si="3"/>
        <v>1.412082505</v>
      </c>
      <c r="H509" s="7">
        <f t="shared" si="4"/>
        <v>0.03358112192</v>
      </c>
      <c r="I509" s="2" t="str">
        <f t="shared" si="5"/>
        <v>2015-05</v>
      </c>
      <c r="J509" s="2">
        <f t="shared" si="6"/>
        <v>2015</v>
      </c>
      <c r="K509" s="2">
        <f t="shared" si="7"/>
        <v>5</v>
      </c>
      <c r="L509" s="2" t="str">
        <f t="shared" si="8"/>
        <v>Thu</v>
      </c>
    </row>
    <row r="510" ht="15.0" customHeight="1">
      <c r="A510" s="4">
        <v>42146.0</v>
      </c>
      <c r="B510" s="2">
        <v>321821.02</v>
      </c>
      <c r="C510" s="2">
        <v>346487.52</v>
      </c>
      <c r="D510" s="2">
        <v>8526.0</v>
      </c>
      <c r="E510" s="5">
        <f t="shared" si="1"/>
        <v>37.74583861</v>
      </c>
      <c r="F510" s="7">
        <f t="shared" si="2"/>
        <v>-0.07664664042</v>
      </c>
      <c r="G510" s="5">
        <f t="shared" si="3"/>
        <v>-2.893091719</v>
      </c>
      <c r="H510" s="7">
        <f t="shared" si="4"/>
        <v>-0.07664664042</v>
      </c>
      <c r="I510" s="2" t="str">
        <f t="shared" si="5"/>
        <v>2015-05</v>
      </c>
      <c r="J510" s="2">
        <f t="shared" si="6"/>
        <v>2015</v>
      </c>
      <c r="K510" s="2">
        <f t="shared" si="7"/>
        <v>6</v>
      </c>
      <c r="L510" s="2" t="str">
        <f t="shared" si="8"/>
        <v>Fri</v>
      </c>
    </row>
    <row r="511" ht="15.0" customHeight="1">
      <c r="A511" s="4">
        <v>42147.0</v>
      </c>
      <c r="B511" s="2">
        <v>418715.41</v>
      </c>
      <c r="C511" s="2">
        <v>450936.28</v>
      </c>
      <c r="D511" s="2">
        <v>11096.0</v>
      </c>
      <c r="E511" s="5">
        <f t="shared" si="1"/>
        <v>37.73570746</v>
      </c>
      <c r="F511" s="7">
        <f t="shared" si="2"/>
        <v>-0.07695171764</v>
      </c>
      <c r="G511" s="5">
        <f t="shared" si="3"/>
        <v>-2.903827505</v>
      </c>
      <c r="H511" s="7">
        <f t="shared" si="4"/>
        <v>-0.07695171764</v>
      </c>
      <c r="I511" s="2" t="str">
        <f t="shared" si="5"/>
        <v>2015-05</v>
      </c>
      <c r="J511" s="2">
        <f t="shared" si="6"/>
        <v>2015</v>
      </c>
      <c r="K511" s="2">
        <f t="shared" si="7"/>
        <v>7</v>
      </c>
      <c r="L511" s="2" t="str">
        <f t="shared" si="8"/>
        <v>Sat</v>
      </c>
    </row>
    <row r="512" ht="15.0" customHeight="1">
      <c r="A512" s="4">
        <v>42148.0</v>
      </c>
      <c r="B512" s="2">
        <v>169541.27</v>
      </c>
      <c r="C512" s="2">
        <v>182419.14</v>
      </c>
      <c r="D512" s="2">
        <v>4489.0</v>
      </c>
      <c r="E512" s="5">
        <f t="shared" si="1"/>
        <v>37.76815995</v>
      </c>
      <c r="F512" s="7">
        <f t="shared" si="2"/>
        <v>-0.07595714011</v>
      </c>
      <c r="G512" s="5">
        <f t="shared" si="3"/>
        <v>-2.868761417</v>
      </c>
      <c r="H512" s="7">
        <f t="shared" si="4"/>
        <v>-0.07595714011</v>
      </c>
      <c r="I512" s="2" t="str">
        <f t="shared" si="5"/>
        <v>2015-05</v>
      </c>
      <c r="J512" s="2">
        <f t="shared" si="6"/>
        <v>2015</v>
      </c>
      <c r="K512" s="2">
        <f t="shared" si="7"/>
        <v>1</v>
      </c>
      <c r="L512" s="2" t="str">
        <f t="shared" si="8"/>
        <v>Sun</v>
      </c>
    </row>
    <row r="513" ht="15.0" customHeight="1">
      <c r="A513" s="4">
        <v>42149.0</v>
      </c>
      <c r="B513" s="2">
        <v>256434.51</v>
      </c>
      <c r="C513" s="2">
        <v>276173.79</v>
      </c>
      <c r="D513" s="2">
        <v>6795.0</v>
      </c>
      <c r="E513" s="5">
        <f t="shared" si="1"/>
        <v>37.7387064</v>
      </c>
      <c r="F513" s="7">
        <f t="shared" si="2"/>
        <v>-0.07697591093</v>
      </c>
      <c r="G513" s="5">
        <f t="shared" si="3"/>
        <v>-2.904971302</v>
      </c>
      <c r="H513" s="7">
        <f t="shared" si="4"/>
        <v>-0.07697591093</v>
      </c>
      <c r="I513" s="2" t="str">
        <f t="shared" si="5"/>
        <v>2015-05</v>
      </c>
      <c r="J513" s="2">
        <f t="shared" si="6"/>
        <v>2015</v>
      </c>
      <c r="K513" s="2">
        <f t="shared" si="7"/>
        <v>2</v>
      </c>
      <c r="L513" s="2" t="str">
        <f t="shared" si="8"/>
        <v>Mon</v>
      </c>
    </row>
    <row r="514" ht="15.0" customHeight="1">
      <c r="A514" s="4">
        <v>42150.0</v>
      </c>
      <c r="B514" s="2">
        <v>199385.91</v>
      </c>
      <c r="C514" s="2">
        <v>214719.75</v>
      </c>
      <c r="D514" s="2">
        <v>5283.0</v>
      </c>
      <c r="E514" s="5">
        <f t="shared" si="1"/>
        <v>37.74103918</v>
      </c>
      <c r="F514" s="7">
        <f t="shared" si="2"/>
        <v>-0.07690533398</v>
      </c>
      <c r="G514" s="5">
        <f t="shared" si="3"/>
        <v>-2.902487223</v>
      </c>
      <c r="H514" s="7">
        <f t="shared" si="4"/>
        <v>-0.07690533398</v>
      </c>
      <c r="I514" s="2" t="str">
        <f t="shared" si="5"/>
        <v>2015-05</v>
      </c>
      <c r="J514" s="2">
        <f t="shared" si="6"/>
        <v>2015</v>
      </c>
      <c r="K514" s="2">
        <f t="shared" si="7"/>
        <v>3</v>
      </c>
      <c r="L514" s="2" t="str">
        <f t="shared" si="8"/>
        <v>Tue</v>
      </c>
    </row>
    <row r="515" ht="15.0" customHeight="1">
      <c r="A515" s="4">
        <v>42151.0</v>
      </c>
      <c r="B515" s="2">
        <v>243554.22</v>
      </c>
      <c r="C515" s="2">
        <v>262251.08</v>
      </c>
      <c r="D515" s="2">
        <v>6453.0</v>
      </c>
      <c r="E515" s="5">
        <f t="shared" si="1"/>
        <v>37.7427894</v>
      </c>
      <c r="F515" s="7">
        <f t="shared" si="2"/>
        <v>-0.0767667257</v>
      </c>
      <c r="G515" s="5">
        <f t="shared" si="3"/>
        <v>-2.897390361</v>
      </c>
      <c r="H515" s="7">
        <f t="shared" si="4"/>
        <v>-0.0767667257</v>
      </c>
      <c r="I515" s="2" t="str">
        <f t="shared" si="5"/>
        <v>2015-05</v>
      </c>
      <c r="J515" s="2">
        <f t="shared" si="6"/>
        <v>2015</v>
      </c>
      <c r="K515" s="2">
        <f t="shared" si="7"/>
        <v>4</v>
      </c>
      <c r="L515" s="2" t="str">
        <f t="shared" si="8"/>
        <v>Wed</v>
      </c>
    </row>
    <row r="516" ht="15.0" customHeight="1">
      <c r="A516" s="4">
        <v>42152.0</v>
      </c>
      <c r="B516" s="2">
        <v>217746.01</v>
      </c>
      <c r="C516" s="2">
        <v>234483.42</v>
      </c>
      <c r="D516" s="2">
        <v>5770.0</v>
      </c>
      <c r="E516" s="5">
        <f t="shared" si="1"/>
        <v>37.73761005</v>
      </c>
      <c r="F516" s="7">
        <f t="shared" si="2"/>
        <v>-0.07686666681</v>
      </c>
      <c r="G516" s="5">
        <f t="shared" si="3"/>
        <v>-2.900764298</v>
      </c>
      <c r="H516" s="7">
        <f t="shared" si="4"/>
        <v>-0.07686666681</v>
      </c>
      <c r="I516" s="2" t="str">
        <f t="shared" si="5"/>
        <v>2015-05</v>
      </c>
      <c r="J516" s="2">
        <f t="shared" si="6"/>
        <v>2015</v>
      </c>
      <c r="K516" s="2">
        <f t="shared" si="7"/>
        <v>5</v>
      </c>
      <c r="L516" s="2" t="str">
        <f t="shared" si="8"/>
        <v>Thu</v>
      </c>
    </row>
    <row r="517" ht="15.0" customHeight="1">
      <c r="A517" s="4">
        <v>42153.0</v>
      </c>
      <c r="B517" s="2">
        <v>472160.75</v>
      </c>
      <c r="C517" s="2">
        <v>508265.15</v>
      </c>
      <c r="D517" s="2">
        <v>12507.0</v>
      </c>
      <c r="E517" s="5">
        <f t="shared" si="1"/>
        <v>37.75171904</v>
      </c>
      <c r="F517" s="7">
        <f t="shared" si="2"/>
        <v>-0.07646633059</v>
      </c>
      <c r="G517" s="5">
        <f t="shared" si="3"/>
        <v>-2.886735428</v>
      </c>
      <c r="H517" s="7">
        <f t="shared" si="4"/>
        <v>-0.07646633059</v>
      </c>
      <c r="I517" s="2" t="str">
        <f t="shared" si="5"/>
        <v>2015-05</v>
      </c>
      <c r="J517" s="2">
        <f t="shared" si="6"/>
        <v>2015</v>
      </c>
      <c r="K517" s="2">
        <f t="shared" si="7"/>
        <v>6</v>
      </c>
      <c r="L517" s="2" t="str">
        <f t="shared" si="8"/>
        <v>Fri</v>
      </c>
    </row>
    <row r="518" ht="15.0" customHeight="1">
      <c r="A518" s="4">
        <v>42154.0</v>
      </c>
      <c r="B518" s="2">
        <v>546135.46</v>
      </c>
      <c r="C518" s="2">
        <v>588250.18</v>
      </c>
      <c r="D518" s="2">
        <v>14475.0</v>
      </c>
      <c r="E518" s="5">
        <f t="shared" si="1"/>
        <v>37.72956546</v>
      </c>
      <c r="F518" s="7">
        <f t="shared" si="2"/>
        <v>-0.07711405518</v>
      </c>
      <c r="G518" s="5">
        <f t="shared" si="3"/>
        <v>-2.909479793</v>
      </c>
      <c r="H518" s="7">
        <f t="shared" si="4"/>
        <v>-0.07711405518</v>
      </c>
      <c r="I518" s="2" t="str">
        <f t="shared" si="5"/>
        <v>2015-05</v>
      </c>
      <c r="J518" s="2">
        <f t="shared" si="6"/>
        <v>2015</v>
      </c>
      <c r="K518" s="2">
        <f t="shared" si="7"/>
        <v>7</v>
      </c>
      <c r="L518" s="2" t="str">
        <f t="shared" si="8"/>
        <v>Sat</v>
      </c>
    </row>
    <row r="519" ht="15.0" customHeight="1">
      <c r="A519" s="4">
        <v>42155.0</v>
      </c>
      <c r="B519" s="2">
        <v>264637.37</v>
      </c>
      <c r="C519" s="2">
        <v>284828.66</v>
      </c>
      <c r="D519" s="2">
        <v>7009.0</v>
      </c>
      <c r="E519" s="5">
        <f t="shared" si="1"/>
        <v>37.75679412</v>
      </c>
      <c r="F519" s="7">
        <f t="shared" si="2"/>
        <v>-0.07629795444</v>
      </c>
      <c r="G519" s="5">
        <f t="shared" si="3"/>
        <v>-2.880766158</v>
      </c>
      <c r="H519" s="7">
        <f t="shared" si="4"/>
        <v>-0.07629795444</v>
      </c>
      <c r="I519" s="2" t="str">
        <f t="shared" si="5"/>
        <v>2015-05</v>
      </c>
      <c r="J519" s="2">
        <f t="shared" si="6"/>
        <v>2015</v>
      </c>
      <c r="K519" s="2">
        <f t="shared" si="7"/>
        <v>1</v>
      </c>
      <c r="L519" s="2" t="str">
        <f t="shared" si="8"/>
        <v>Sun</v>
      </c>
    </row>
    <row r="520" ht="15.0" customHeight="1">
      <c r="A520" s="4">
        <v>42156.0</v>
      </c>
      <c r="B520" s="2">
        <v>440906.0</v>
      </c>
      <c r="C520" s="2">
        <v>474967.33</v>
      </c>
      <c r="D520" s="2">
        <v>11688.0</v>
      </c>
      <c r="E520" s="5">
        <f t="shared" si="1"/>
        <v>37.72296372</v>
      </c>
      <c r="F520" s="7">
        <f t="shared" si="2"/>
        <v>-0.0772530426</v>
      </c>
      <c r="G520" s="5">
        <f t="shared" si="3"/>
        <v>-2.914213723</v>
      </c>
      <c r="H520" s="7">
        <f t="shared" si="4"/>
        <v>-0.0772530426</v>
      </c>
      <c r="I520" s="2" t="str">
        <f t="shared" si="5"/>
        <v>2015-06</v>
      </c>
      <c r="J520" s="2">
        <f t="shared" si="6"/>
        <v>2015</v>
      </c>
      <c r="K520" s="2">
        <f t="shared" si="7"/>
        <v>2</v>
      </c>
      <c r="L520" s="2" t="str">
        <f t="shared" si="8"/>
        <v>Mon</v>
      </c>
    </row>
    <row r="521" ht="15.0" customHeight="1">
      <c r="A521" s="4">
        <v>42157.0</v>
      </c>
      <c r="B521" s="2">
        <v>334318.9</v>
      </c>
      <c r="C521" s="2">
        <v>360168.83</v>
      </c>
      <c r="D521" s="2">
        <v>8863.0</v>
      </c>
      <c r="E521" s="5">
        <f t="shared" si="1"/>
        <v>37.7207379</v>
      </c>
      <c r="F521" s="7">
        <f t="shared" si="2"/>
        <v>-0.07732117448</v>
      </c>
      <c r="G521" s="5">
        <f t="shared" si="3"/>
        <v>-2.916611757</v>
      </c>
      <c r="H521" s="7">
        <f t="shared" si="4"/>
        <v>-0.07732117448</v>
      </c>
      <c r="I521" s="2" t="str">
        <f t="shared" si="5"/>
        <v>2015-06</v>
      </c>
      <c r="J521" s="2">
        <f t="shared" si="6"/>
        <v>2015</v>
      </c>
      <c r="K521" s="2">
        <f t="shared" si="7"/>
        <v>3</v>
      </c>
      <c r="L521" s="2" t="str">
        <f t="shared" si="8"/>
        <v>Tue</v>
      </c>
    </row>
    <row r="522" ht="15.0" customHeight="1">
      <c r="A522" s="4">
        <v>42158.0</v>
      </c>
      <c r="B522" s="2">
        <v>269835.83</v>
      </c>
      <c r="C522" s="2">
        <v>290492.11</v>
      </c>
      <c r="D522" s="2">
        <v>7148.0</v>
      </c>
      <c r="E522" s="5">
        <f t="shared" si="1"/>
        <v>37.74983632</v>
      </c>
      <c r="F522" s="7">
        <f t="shared" si="2"/>
        <v>-0.07655128676</v>
      </c>
      <c r="G522" s="5">
        <f t="shared" si="3"/>
        <v>-2.889798545</v>
      </c>
      <c r="H522" s="7">
        <f t="shared" si="4"/>
        <v>-0.07655128676</v>
      </c>
      <c r="I522" s="2" t="str">
        <f t="shared" si="5"/>
        <v>2015-06</v>
      </c>
      <c r="J522" s="2">
        <f t="shared" si="6"/>
        <v>2015</v>
      </c>
      <c r="K522" s="2">
        <f t="shared" si="7"/>
        <v>4</v>
      </c>
      <c r="L522" s="2" t="str">
        <f t="shared" si="8"/>
        <v>Wed</v>
      </c>
    </row>
    <row r="523" ht="15.0" customHeight="1">
      <c r="A523" s="4">
        <v>42159.0</v>
      </c>
      <c r="B523" s="2">
        <v>201146.49</v>
      </c>
      <c r="C523" s="2">
        <v>216428.5</v>
      </c>
      <c r="D523" s="2">
        <v>5326.0</v>
      </c>
      <c r="E523" s="5">
        <f t="shared" si="1"/>
        <v>37.76689636</v>
      </c>
      <c r="F523" s="7">
        <f t="shared" si="2"/>
        <v>-0.07597452981</v>
      </c>
      <c r="G523" s="5">
        <f t="shared" si="3"/>
        <v>-2.869322193</v>
      </c>
      <c r="H523" s="7">
        <f t="shared" si="4"/>
        <v>-0.07597452981</v>
      </c>
      <c r="I523" s="2" t="str">
        <f t="shared" si="5"/>
        <v>2015-06</v>
      </c>
      <c r="J523" s="2">
        <f t="shared" si="6"/>
        <v>2015</v>
      </c>
      <c r="K523" s="2">
        <f t="shared" si="7"/>
        <v>5</v>
      </c>
      <c r="L523" s="2" t="str">
        <f t="shared" si="8"/>
        <v>Thu</v>
      </c>
    </row>
    <row r="524" ht="15.0" customHeight="1">
      <c r="A524" s="4">
        <v>42160.0</v>
      </c>
      <c r="B524" s="2">
        <v>293461.08</v>
      </c>
      <c r="C524" s="2">
        <v>315937.86</v>
      </c>
      <c r="D524" s="2">
        <v>7775.0</v>
      </c>
      <c r="E524" s="5">
        <f t="shared" si="1"/>
        <v>37.74419035</v>
      </c>
      <c r="F524" s="7">
        <f t="shared" si="2"/>
        <v>-0.07659203053</v>
      </c>
      <c r="G524" s="5">
        <f t="shared" si="3"/>
        <v>-2.89090418</v>
      </c>
      <c r="H524" s="7">
        <f t="shared" si="4"/>
        <v>-0.07659203053</v>
      </c>
      <c r="I524" s="2" t="str">
        <f t="shared" si="5"/>
        <v>2015-06</v>
      </c>
      <c r="J524" s="2">
        <f t="shared" si="6"/>
        <v>2015</v>
      </c>
      <c r="K524" s="2">
        <f t="shared" si="7"/>
        <v>6</v>
      </c>
      <c r="L524" s="2" t="str">
        <f t="shared" si="8"/>
        <v>Fri</v>
      </c>
    </row>
    <row r="525" ht="15.0" customHeight="1">
      <c r="A525" s="4">
        <v>42161.0</v>
      </c>
      <c r="B525" s="2">
        <v>349413.01</v>
      </c>
      <c r="C525" s="2">
        <v>376094.72</v>
      </c>
      <c r="D525" s="2">
        <v>9255.0</v>
      </c>
      <c r="E525" s="5">
        <f t="shared" si="1"/>
        <v>37.75397191</v>
      </c>
      <c r="F525" s="7">
        <f t="shared" si="2"/>
        <v>-0.07636152415</v>
      </c>
      <c r="G525" s="5">
        <f t="shared" si="3"/>
        <v>-2.882950837</v>
      </c>
      <c r="H525" s="7">
        <f t="shared" si="4"/>
        <v>-0.07636152415</v>
      </c>
      <c r="I525" s="2" t="str">
        <f t="shared" si="5"/>
        <v>2015-06</v>
      </c>
      <c r="J525" s="2">
        <f t="shared" si="6"/>
        <v>2015</v>
      </c>
      <c r="K525" s="2">
        <f t="shared" si="7"/>
        <v>7</v>
      </c>
      <c r="L525" s="2" t="str">
        <f t="shared" si="8"/>
        <v>Sat</v>
      </c>
    </row>
    <row r="526" ht="15.0" customHeight="1">
      <c r="A526" s="4">
        <v>42162.0</v>
      </c>
      <c r="B526" s="2">
        <v>179602.92</v>
      </c>
      <c r="C526" s="2">
        <v>193348.59</v>
      </c>
      <c r="D526" s="2">
        <v>4758.0</v>
      </c>
      <c r="E526" s="5">
        <f t="shared" si="1"/>
        <v>37.7475662</v>
      </c>
      <c r="F526" s="7">
        <f t="shared" si="2"/>
        <v>-0.0765336666</v>
      </c>
      <c r="G526" s="5">
        <f t="shared" si="3"/>
        <v>-2.888959647</v>
      </c>
      <c r="H526" s="7">
        <f t="shared" si="4"/>
        <v>-0.0765336666</v>
      </c>
      <c r="I526" s="2" t="str">
        <f t="shared" si="5"/>
        <v>2015-06</v>
      </c>
      <c r="J526" s="2">
        <f t="shared" si="6"/>
        <v>2015</v>
      </c>
      <c r="K526" s="2">
        <f t="shared" si="7"/>
        <v>1</v>
      </c>
      <c r="L526" s="2" t="str">
        <f t="shared" si="8"/>
        <v>Sun</v>
      </c>
    </row>
    <row r="527" ht="15.0" customHeight="1">
      <c r="A527" s="4">
        <v>42163.0</v>
      </c>
      <c r="B527" s="2">
        <v>109810.55</v>
      </c>
      <c r="C527" s="2">
        <v>106166.08</v>
      </c>
      <c r="D527" s="2">
        <v>2613.0</v>
      </c>
      <c r="E527" s="5">
        <f t="shared" si="1"/>
        <v>42.02470341</v>
      </c>
      <c r="F527" s="7">
        <f t="shared" si="2"/>
        <v>0.03318870546</v>
      </c>
      <c r="G527" s="5">
        <f t="shared" si="3"/>
        <v>1.394745503</v>
      </c>
      <c r="H527" s="7">
        <f t="shared" si="4"/>
        <v>0.03318870546</v>
      </c>
      <c r="I527" s="2" t="str">
        <f t="shared" si="5"/>
        <v>2015-06</v>
      </c>
      <c r="J527" s="2">
        <f t="shared" si="6"/>
        <v>2015</v>
      </c>
      <c r="K527" s="2">
        <f t="shared" si="7"/>
        <v>2</v>
      </c>
      <c r="L527" s="2" t="str">
        <f t="shared" si="8"/>
        <v>Mon</v>
      </c>
    </row>
    <row r="528" ht="15.0" customHeight="1">
      <c r="A528" s="4">
        <v>42164.0</v>
      </c>
      <c r="B528" s="2">
        <v>76956.92</v>
      </c>
      <c r="C528" s="2">
        <v>74212.79</v>
      </c>
      <c r="D528" s="2">
        <v>1830.0</v>
      </c>
      <c r="E528" s="5">
        <f t="shared" si="1"/>
        <v>42.05296175</v>
      </c>
      <c r="F528" s="7">
        <f t="shared" si="2"/>
        <v>0.03565800191</v>
      </c>
      <c r="G528" s="5">
        <f t="shared" si="3"/>
        <v>1.49952459</v>
      </c>
      <c r="H528" s="7">
        <f t="shared" si="4"/>
        <v>0.03565800191</v>
      </c>
      <c r="I528" s="2" t="str">
        <f t="shared" si="5"/>
        <v>2015-06</v>
      </c>
      <c r="J528" s="2">
        <f t="shared" si="6"/>
        <v>2015</v>
      </c>
      <c r="K528" s="2">
        <f t="shared" si="7"/>
        <v>3</v>
      </c>
      <c r="L528" s="2" t="str">
        <f t="shared" si="8"/>
        <v>Tue</v>
      </c>
    </row>
    <row r="529" ht="15.0" customHeight="1">
      <c r="A529" s="4">
        <v>42165.0</v>
      </c>
      <c r="B529" s="2">
        <v>71199.59</v>
      </c>
      <c r="C529" s="2">
        <v>68669.39</v>
      </c>
      <c r="D529" s="2">
        <v>1694.0</v>
      </c>
      <c r="E529" s="5">
        <f t="shared" si="1"/>
        <v>42.03045455</v>
      </c>
      <c r="F529" s="7">
        <f t="shared" si="2"/>
        <v>0.03553672149</v>
      </c>
      <c r="G529" s="5">
        <f t="shared" si="3"/>
        <v>1.493624557</v>
      </c>
      <c r="H529" s="7">
        <f t="shared" si="4"/>
        <v>0.03553672149</v>
      </c>
      <c r="I529" s="2" t="str">
        <f t="shared" si="5"/>
        <v>2015-06</v>
      </c>
      <c r="J529" s="2">
        <f t="shared" si="6"/>
        <v>2015</v>
      </c>
      <c r="K529" s="2">
        <f t="shared" si="7"/>
        <v>4</v>
      </c>
      <c r="L529" s="2" t="str">
        <f t="shared" si="8"/>
        <v>Wed</v>
      </c>
    </row>
    <row r="530" ht="15.0" customHeight="1">
      <c r="A530" s="4">
        <v>42166.0</v>
      </c>
      <c r="B530" s="2">
        <v>68988.35</v>
      </c>
      <c r="C530" s="2">
        <v>66539.17</v>
      </c>
      <c r="D530" s="2">
        <v>1642.0</v>
      </c>
      <c r="E530" s="5">
        <f t="shared" si="1"/>
        <v>42.01482948</v>
      </c>
      <c r="F530" s="7">
        <f t="shared" si="2"/>
        <v>0.03550135639</v>
      </c>
      <c r="G530" s="5">
        <f t="shared" si="3"/>
        <v>1.491583435</v>
      </c>
      <c r="H530" s="7">
        <f t="shared" si="4"/>
        <v>0.03550135639</v>
      </c>
      <c r="I530" s="2" t="str">
        <f t="shared" si="5"/>
        <v>2015-06</v>
      </c>
      <c r="J530" s="2">
        <f t="shared" si="6"/>
        <v>2015</v>
      </c>
      <c r="K530" s="2">
        <f t="shared" si="7"/>
        <v>5</v>
      </c>
      <c r="L530" s="2" t="str">
        <f t="shared" si="8"/>
        <v>Thu</v>
      </c>
    </row>
    <row r="531" ht="15.0" customHeight="1">
      <c r="A531" s="4">
        <v>42167.0</v>
      </c>
      <c r="B531" s="2">
        <v>155156.88</v>
      </c>
      <c r="C531" s="2">
        <v>149423.24</v>
      </c>
      <c r="D531" s="2">
        <v>3690.0</v>
      </c>
      <c r="E531" s="5">
        <f t="shared" si="1"/>
        <v>42.04793496</v>
      </c>
      <c r="F531" s="7">
        <f t="shared" si="2"/>
        <v>0.03695382377</v>
      </c>
      <c r="G531" s="5">
        <f t="shared" si="3"/>
        <v>1.553831978</v>
      </c>
      <c r="H531" s="7">
        <f t="shared" si="4"/>
        <v>0.03695382377</v>
      </c>
      <c r="I531" s="2" t="str">
        <f t="shared" si="5"/>
        <v>2015-06</v>
      </c>
      <c r="J531" s="2">
        <f t="shared" si="6"/>
        <v>2015</v>
      </c>
      <c r="K531" s="2">
        <f t="shared" si="7"/>
        <v>6</v>
      </c>
      <c r="L531" s="2" t="str">
        <f t="shared" si="8"/>
        <v>Fri</v>
      </c>
    </row>
    <row r="532" ht="15.0" customHeight="1">
      <c r="A532" s="4">
        <v>42168.0</v>
      </c>
      <c r="B532" s="2">
        <v>185109.52</v>
      </c>
      <c r="C532" s="2">
        <v>178347.37</v>
      </c>
      <c r="D532" s="2">
        <v>4404.0</v>
      </c>
      <c r="E532" s="5">
        <f t="shared" si="1"/>
        <v>42.03213442</v>
      </c>
      <c r="F532" s="7">
        <f t="shared" si="2"/>
        <v>0.03653053608</v>
      </c>
      <c r="G532" s="5">
        <f t="shared" si="3"/>
        <v>1.535456403</v>
      </c>
      <c r="H532" s="7">
        <f t="shared" si="4"/>
        <v>0.03653053608</v>
      </c>
      <c r="I532" s="2" t="str">
        <f t="shared" si="5"/>
        <v>2015-06</v>
      </c>
      <c r="J532" s="2">
        <f t="shared" si="6"/>
        <v>2015</v>
      </c>
      <c r="K532" s="2">
        <f t="shared" si="7"/>
        <v>7</v>
      </c>
      <c r="L532" s="2" t="str">
        <f t="shared" si="8"/>
        <v>Sat</v>
      </c>
    </row>
    <row r="533" ht="15.0" customHeight="1">
      <c r="A533" s="4">
        <v>42169.0</v>
      </c>
      <c r="B533" s="2">
        <v>83779.54</v>
      </c>
      <c r="C533" s="2">
        <v>80659.82</v>
      </c>
      <c r="D533" s="2">
        <v>1992.0</v>
      </c>
      <c r="E533" s="5">
        <f t="shared" si="1"/>
        <v>42.05800201</v>
      </c>
      <c r="F533" s="7">
        <f t="shared" si="2"/>
        <v>0.03723725387</v>
      </c>
      <c r="G533" s="5">
        <f t="shared" si="3"/>
        <v>1.566124498</v>
      </c>
      <c r="H533" s="7">
        <f t="shared" si="4"/>
        <v>0.03723725387</v>
      </c>
      <c r="I533" s="2" t="str">
        <f t="shared" si="5"/>
        <v>2015-06</v>
      </c>
      <c r="J533" s="2">
        <f t="shared" si="6"/>
        <v>2015</v>
      </c>
      <c r="K533" s="2">
        <f t="shared" si="7"/>
        <v>1</v>
      </c>
      <c r="L533" s="2" t="str">
        <f t="shared" si="8"/>
        <v>Sun</v>
      </c>
    </row>
    <row r="534" ht="15.0" customHeight="1">
      <c r="A534" s="4">
        <v>42170.0</v>
      </c>
      <c r="B534" s="2">
        <v>149501.57</v>
      </c>
      <c r="C534" s="2">
        <v>143962.87</v>
      </c>
      <c r="D534" s="2">
        <v>3557.0</v>
      </c>
      <c r="E534" s="5">
        <f t="shared" si="1"/>
        <v>42.03024178</v>
      </c>
      <c r="F534" s="7">
        <f t="shared" si="2"/>
        <v>0.03704777147</v>
      </c>
      <c r="G534" s="5">
        <f t="shared" si="3"/>
        <v>1.557126792</v>
      </c>
      <c r="H534" s="7">
        <f t="shared" si="4"/>
        <v>0.03704777147</v>
      </c>
      <c r="I534" s="2" t="str">
        <f t="shared" si="5"/>
        <v>2015-06</v>
      </c>
      <c r="J534" s="2">
        <f t="shared" si="6"/>
        <v>2015</v>
      </c>
      <c r="K534" s="2">
        <f t="shared" si="7"/>
        <v>2</v>
      </c>
      <c r="L534" s="2" t="str">
        <f t="shared" si="8"/>
        <v>Mon</v>
      </c>
    </row>
    <row r="535" ht="15.0" customHeight="1">
      <c r="A535" s="4">
        <v>42171.0</v>
      </c>
      <c r="B535" s="2">
        <v>100477.3</v>
      </c>
      <c r="C535" s="2">
        <v>96810.1</v>
      </c>
      <c r="D535" s="2">
        <v>2395.0</v>
      </c>
      <c r="E535" s="5">
        <f t="shared" si="1"/>
        <v>41.95294363</v>
      </c>
      <c r="F535" s="7">
        <f t="shared" si="2"/>
        <v>0.03649779602</v>
      </c>
      <c r="G535" s="5">
        <f t="shared" si="3"/>
        <v>1.531189979</v>
      </c>
      <c r="H535" s="7">
        <f t="shared" si="4"/>
        <v>0.03649779602</v>
      </c>
      <c r="I535" s="2" t="str">
        <f t="shared" si="5"/>
        <v>2015-06</v>
      </c>
      <c r="J535" s="2">
        <f t="shared" si="6"/>
        <v>2015</v>
      </c>
      <c r="K535" s="2">
        <f t="shared" si="7"/>
        <v>3</v>
      </c>
      <c r="L535" s="2" t="str">
        <f t="shared" si="8"/>
        <v>Tue</v>
      </c>
    </row>
    <row r="536" ht="15.0" customHeight="1">
      <c r="A536" s="4">
        <v>42172.0</v>
      </c>
      <c r="B536" s="2">
        <v>89072.71</v>
      </c>
      <c r="C536" s="2">
        <v>85639.31</v>
      </c>
      <c r="D536" s="2">
        <v>2120.0</v>
      </c>
      <c r="E536" s="5">
        <f t="shared" si="1"/>
        <v>42.01542925</v>
      </c>
      <c r="F536" s="7">
        <f t="shared" si="2"/>
        <v>0.03854603728</v>
      </c>
      <c r="G536" s="5">
        <f t="shared" si="3"/>
        <v>1.619528302</v>
      </c>
      <c r="H536" s="7">
        <f t="shared" si="4"/>
        <v>0.03854603728</v>
      </c>
      <c r="I536" s="2" t="str">
        <f t="shared" si="5"/>
        <v>2015-06</v>
      </c>
      <c r="J536" s="2">
        <f t="shared" si="6"/>
        <v>2015</v>
      </c>
      <c r="K536" s="2">
        <f t="shared" si="7"/>
        <v>4</v>
      </c>
      <c r="L536" s="2" t="str">
        <f t="shared" si="8"/>
        <v>Wed</v>
      </c>
    </row>
    <row r="537" ht="15.0" customHeight="1">
      <c r="A537" s="4">
        <v>42173.0</v>
      </c>
      <c r="B537" s="2">
        <v>78746.6</v>
      </c>
      <c r="C537" s="2">
        <v>75673.78</v>
      </c>
      <c r="D537" s="2">
        <v>1875.0</v>
      </c>
      <c r="E537" s="5">
        <f t="shared" si="1"/>
        <v>41.99818667</v>
      </c>
      <c r="F537" s="7">
        <f t="shared" si="2"/>
        <v>0.03902162125</v>
      </c>
      <c r="G537" s="5">
        <f t="shared" si="3"/>
        <v>1.638837333</v>
      </c>
      <c r="H537" s="7">
        <f t="shared" si="4"/>
        <v>0.03902162125</v>
      </c>
      <c r="I537" s="2" t="str">
        <f t="shared" si="5"/>
        <v>2015-06</v>
      </c>
      <c r="J537" s="2">
        <f t="shared" si="6"/>
        <v>2015</v>
      </c>
      <c r="K537" s="2">
        <f t="shared" si="7"/>
        <v>5</v>
      </c>
      <c r="L537" s="2" t="str">
        <f t="shared" si="8"/>
        <v>Thu</v>
      </c>
    </row>
    <row r="538" ht="15.0" customHeight="1">
      <c r="A538" s="4">
        <v>42174.0</v>
      </c>
      <c r="B538" s="2">
        <v>141913.38</v>
      </c>
      <c r="C538" s="2">
        <v>136017.75</v>
      </c>
      <c r="D538" s="2">
        <v>3376.0</v>
      </c>
      <c r="E538" s="5">
        <f t="shared" si="1"/>
        <v>42.03595379</v>
      </c>
      <c r="F538" s="7">
        <f t="shared" si="2"/>
        <v>0.04154386288</v>
      </c>
      <c r="G538" s="5">
        <f t="shared" si="3"/>
        <v>1.7463359</v>
      </c>
      <c r="H538" s="7">
        <f t="shared" si="4"/>
        <v>0.04154386288</v>
      </c>
      <c r="I538" s="2" t="str">
        <f t="shared" si="5"/>
        <v>2015-06</v>
      </c>
      <c r="J538" s="2">
        <f t="shared" si="6"/>
        <v>2015</v>
      </c>
      <c r="K538" s="2">
        <f t="shared" si="7"/>
        <v>6</v>
      </c>
      <c r="L538" s="2" t="str">
        <f t="shared" si="8"/>
        <v>Fri</v>
      </c>
    </row>
    <row r="539" ht="15.0" customHeight="1">
      <c r="A539" s="4">
        <v>42175.0</v>
      </c>
      <c r="B539" s="2">
        <v>169304.28</v>
      </c>
      <c r="C539" s="2">
        <v>162287.91</v>
      </c>
      <c r="D539" s="2">
        <v>4027.0</v>
      </c>
      <c r="E539" s="5">
        <f t="shared" si="1"/>
        <v>42.04228458</v>
      </c>
      <c r="F539" s="7">
        <f t="shared" si="2"/>
        <v>0.04144236637</v>
      </c>
      <c r="G539" s="5">
        <f t="shared" si="3"/>
        <v>1.742331761</v>
      </c>
      <c r="H539" s="7">
        <f t="shared" si="4"/>
        <v>0.04144236637</v>
      </c>
      <c r="I539" s="2" t="str">
        <f t="shared" si="5"/>
        <v>2015-06</v>
      </c>
      <c r="J539" s="2">
        <f t="shared" si="6"/>
        <v>2015</v>
      </c>
      <c r="K539" s="2">
        <f t="shared" si="7"/>
        <v>7</v>
      </c>
      <c r="L539" s="2" t="str">
        <f t="shared" si="8"/>
        <v>Sat</v>
      </c>
    </row>
    <row r="540" ht="15.0" customHeight="1">
      <c r="A540" s="4">
        <v>42176.0</v>
      </c>
      <c r="B540" s="2">
        <v>89512.24</v>
      </c>
      <c r="C540" s="2">
        <v>85781.81</v>
      </c>
      <c r="D540" s="2">
        <v>2128.0</v>
      </c>
      <c r="E540" s="5">
        <f t="shared" si="1"/>
        <v>42.06402256</v>
      </c>
      <c r="F540" s="7">
        <f t="shared" si="2"/>
        <v>0.04167508265</v>
      </c>
      <c r="G540" s="5">
        <f t="shared" si="3"/>
        <v>1.753021617</v>
      </c>
      <c r="H540" s="7">
        <f t="shared" si="4"/>
        <v>0.04167508265</v>
      </c>
      <c r="I540" s="2" t="str">
        <f t="shared" si="5"/>
        <v>2015-06</v>
      </c>
      <c r="J540" s="2">
        <f t="shared" si="6"/>
        <v>2015</v>
      </c>
      <c r="K540" s="2">
        <f t="shared" si="7"/>
        <v>1</v>
      </c>
      <c r="L540" s="2" t="str">
        <f t="shared" si="8"/>
        <v>Sun</v>
      </c>
    </row>
    <row r="541" ht="15.0" customHeight="1">
      <c r="A541" s="4">
        <v>42177.0</v>
      </c>
      <c r="B541" s="2">
        <v>85984.08</v>
      </c>
      <c r="C541" s="2">
        <v>82427.23</v>
      </c>
      <c r="D541" s="2">
        <v>2046.0</v>
      </c>
      <c r="E541" s="5">
        <f t="shared" si="1"/>
        <v>42.02545455</v>
      </c>
      <c r="F541" s="7">
        <f t="shared" si="2"/>
        <v>0.04136637852</v>
      </c>
      <c r="G541" s="5">
        <f t="shared" si="3"/>
        <v>1.73844086</v>
      </c>
      <c r="H541" s="7">
        <f t="shared" si="4"/>
        <v>0.04136637852</v>
      </c>
      <c r="I541" s="2" t="str">
        <f t="shared" si="5"/>
        <v>2015-06</v>
      </c>
      <c r="J541" s="2">
        <f t="shared" si="6"/>
        <v>2015</v>
      </c>
      <c r="K541" s="2">
        <f t="shared" si="7"/>
        <v>2</v>
      </c>
      <c r="L541" s="2" t="str">
        <f t="shared" si="8"/>
        <v>Mon</v>
      </c>
    </row>
    <row r="542" ht="15.0" customHeight="1">
      <c r="A542" s="4">
        <v>42178.0</v>
      </c>
      <c r="B542" s="2">
        <v>64956.46</v>
      </c>
      <c r="C542" s="2">
        <v>62169.78</v>
      </c>
      <c r="D542" s="2">
        <v>1546.0</v>
      </c>
      <c r="E542" s="5">
        <f t="shared" si="1"/>
        <v>42.01582147</v>
      </c>
      <c r="F542" s="7">
        <f t="shared" si="2"/>
        <v>0.04290073689</v>
      </c>
      <c r="G542" s="5">
        <f t="shared" si="3"/>
        <v>1.802509702</v>
      </c>
      <c r="H542" s="7">
        <f t="shared" si="4"/>
        <v>0.04290073689</v>
      </c>
      <c r="I542" s="2" t="str">
        <f t="shared" si="5"/>
        <v>2015-06</v>
      </c>
      <c r="J542" s="2">
        <f t="shared" si="6"/>
        <v>2015</v>
      </c>
      <c r="K542" s="2">
        <f t="shared" si="7"/>
        <v>3</v>
      </c>
      <c r="L542" s="2" t="str">
        <f t="shared" si="8"/>
        <v>Tue</v>
      </c>
    </row>
    <row r="543" ht="15.0" customHeight="1">
      <c r="A543" s="4">
        <v>42179.0</v>
      </c>
      <c r="B543" s="2">
        <v>106613.43</v>
      </c>
      <c r="C543" s="2">
        <v>113428.47</v>
      </c>
      <c r="D543" s="2">
        <v>2822.0</v>
      </c>
      <c r="E543" s="5">
        <f t="shared" si="1"/>
        <v>37.77938696</v>
      </c>
      <c r="F543" s="7">
        <f t="shared" si="2"/>
        <v>-0.06392290352</v>
      </c>
      <c r="G543" s="5">
        <f t="shared" si="3"/>
        <v>-2.414968108</v>
      </c>
      <c r="H543" s="7">
        <f t="shared" si="4"/>
        <v>-0.06392290352</v>
      </c>
      <c r="I543" s="2" t="str">
        <f t="shared" si="5"/>
        <v>2015-06</v>
      </c>
      <c r="J543" s="2">
        <f t="shared" si="6"/>
        <v>2015</v>
      </c>
      <c r="K543" s="2">
        <f t="shared" si="7"/>
        <v>4</v>
      </c>
      <c r="L543" s="2" t="str">
        <f t="shared" si="8"/>
        <v>Wed</v>
      </c>
    </row>
    <row r="544" ht="15.0" customHeight="1">
      <c r="A544" s="4">
        <v>42180.0</v>
      </c>
      <c r="B544" s="2">
        <v>183843.82</v>
      </c>
      <c r="C544" s="2">
        <v>195365.73</v>
      </c>
      <c r="D544" s="2">
        <v>4865.0</v>
      </c>
      <c r="E544" s="5">
        <f t="shared" si="1"/>
        <v>37.78906886</v>
      </c>
      <c r="F544" s="7">
        <f t="shared" si="2"/>
        <v>-0.06267227258</v>
      </c>
      <c r="G544" s="5">
        <f t="shared" si="3"/>
        <v>-2.368326824</v>
      </c>
      <c r="H544" s="7">
        <f t="shared" si="4"/>
        <v>-0.06267227258</v>
      </c>
      <c r="I544" s="2" t="str">
        <f t="shared" si="5"/>
        <v>2015-06</v>
      </c>
      <c r="J544" s="2">
        <f t="shared" si="6"/>
        <v>2015</v>
      </c>
      <c r="K544" s="2">
        <f t="shared" si="7"/>
        <v>5</v>
      </c>
      <c r="L544" s="2" t="str">
        <f t="shared" si="8"/>
        <v>Thu</v>
      </c>
    </row>
    <row r="545" ht="15.0" customHeight="1">
      <c r="A545" s="4">
        <v>42181.0</v>
      </c>
      <c r="B545" s="2">
        <v>319579.79</v>
      </c>
      <c r="C545" s="2">
        <v>339241.69</v>
      </c>
      <c r="D545" s="2">
        <v>8450.0</v>
      </c>
      <c r="E545" s="5">
        <f t="shared" si="1"/>
        <v>37.82009349</v>
      </c>
      <c r="F545" s="7">
        <f t="shared" si="2"/>
        <v>-0.06152422843</v>
      </c>
      <c r="G545" s="5">
        <f t="shared" si="3"/>
        <v>-2.326852071</v>
      </c>
      <c r="H545" s="7">
        <f t="shared" si="4"/>
        <v>-0.06152422843</v>
      </c>
      <c r="I545" s="2" t="str">
        <f t="shared" si="5"/>
        <v>2015-06</v>
      </c>
      <c r="J545" s="2">
        <f t="shared" si="6"/>
        <v>2015</v>
      </c>
      <c r="K545" s="2">
        <f t="shared" si="7"/>
        <v>6</v>
      </c>
      <c r="L545" s="2" t="str">
        <f t="shared" si="8"/>
        <v>Fri</v>
      </c>
    </row>
    <row r="546" ht="15.0" customHeight="1">
      <c r="A546" s="4">
        <v>42182.0</v>
      </c>
      <c r="B546" s="2">
        <v>369245.76</v>
      </c>
      <c r="C546" s="2">
        <v>392017.97</v>
      </c>
      <c r="D546" s="2">
        <v>9770.0</v>
      </c>
      <c r="E546" s="5">
        <f t="shared" si="1"/>
        <v>37.79383419</v>
      </c>
      <c r="F546" s="7">
        <f t="shared" si="2"/>
        <v>-0.06167223152</v>
      </c>
      <c r="G546" s="5">
        <f t="shared" si="3"/>
        <v>-2.330830092</v>
      </c>
      <c r="H546" s="7">
        <f t="shared" si="4"/>
        <v>-0.06167223152</v>
      </c>
      <c r="I546" s="2" t="str">
        <f t="shared" si="5"/>
        <v>2015-06</v>
      </c>
      <c r="J546" s="2">
        <f t="shared" si="6"/>
        <v>2015</v>
      </c>
      <c r="K546" s="2">
        <f t="shared" si="7"/>
        <v>7</v>
      </c>
      <c r="L546" s="2" t="str">
        <f t="shared" si="8"/>
        <v>Sat</v>
      </c>
    </row>
    <row r="547" ht="15.0" customHeight="1">
      <c r="A547" s="4">
        <v>42183.0</v>
      </c>
      <c r="B547" s="2">
        <v>185648.49</v>
      </c>
      <c r="C547" s="2">
        <v>197095.11</v>
      </c>
      <c r="D547" s="2">
        <v>4914.0</v>
      </c>
      <c r="E547" s="5">
        <f t="shared" si="1"/>
        <v>37.77950549</v>
      </c>
      <c r="F547" s="7">
        <f t="shared" si="2"/>
        <v>-0.06165749045</v>
      </c>
      <c r="G547" s="5">
        <f t="shared" si="3"/>
        <v>-2.329389499</v>
      </c>
      <c r="H547" s="7">
        <f t="shared" si="4"/>
        <v>-0.06165749045</v>
      </c>
      <c r="I547" s="2" t="str">
        <f t="shared" si="5"/>
        <v>2015-06</v>
      </c>
      <c r="J547" s="2">
        <f t="shared" si="6"/>
        <v>2015</v>
      </c>
      <c r="K547" s="2">
        <f t="shared" si="7"/>
        <v>1</v>
      </c>
      <c r="L547" s="2" t="str">
        <f t="shared" si="8"/>
        <v>Sun</v>
      </c>
    </row>
    <row r="548" ht="15.0" customHeight="1">
      <c r="A548" s="4">
        <v>42184.0</v>
      </c>
      <c r="B548" s="2">
        <v>165557.76</v>
      </c>
      <c r="C548" s="2">
        <v>175871.11</v>
      </c>
      <c r="D548" s="2">
        <v>4385.0</v>
      </c>
      <c r="E548" s="5">
        <f t="shared" si="1"/>
        <v>37.75547548</v>
      </c>
      <c r="F548" s="7">
        <f t="shared" si="2"/>
        <v>-0.06229457321</v>
      </c>
      <c r="G548" s="5">
        <f t="shared" si="3"/>
        <v>-2.351961231</v>
      </c>
      <c r="H548" s="7">
        <f t="shared" si="4"/>
        <v>-0.06229457321</v>
      </c>
      <c r="I548" s="2" t="str">
        <f t="shared" si="5"/>
        <v>2015-06</v>
      </c>
      <c r="J548" s="2">
        <f t="shared" si="6"/>
        <v>2015</v>
      </c>
      <c r="K548" s="2">
        <f t="shared" si="7"/>
        <v>2</v>
      </c>
      <c r="L548" s="2" t="str">
        <f t="shared" si="8"/>
        <v>Mon</v>
      </c>
    </row>
    <row r="549" ht="15.0" customHeight="1">
      <c r="A549" s="4">
        <v>42185.0</v>
      </c>
      <c r="B549" s="2">
        <v>212465.08</v>
      </c>
      <c r="C549" s="2">
        <v>225678.93</v>
      </c>
      <c r="D549" s="2">
        <v>5627.0</v>
      </c>
      <c r="E549" s="5">
        <f t="shared" si="1"/>
        <v>37.75814466</v>
      </c>
      <c r="F549" s="7">
        <f t="shared" si="2"/>
        <v>-0.06219304368</v>
      </c>
      <c r="G549" s="5">
        <f t="shared" si="3"/>
        <v>-2.34829394</v>
      </c>
      <c r="H549" s="7">
        <f t="shared" si="4"/>
        <v>-0.06219304368</v>
      </c>
      <c r="I549" s="2" t="str">
        <f t="shared" si="5"/>
        <v>2015-06</v>
      </c>
      <c r="J549" s="2">
        <f t="shared" si="6"/>
        <v>2015</v>
      </c>
      <c r="K549" s="2">
        <f t="shared" si="7"/>
        <v>3</v>
      </c>
      <c r="L549" s="2" t="str">
        <f t="shared" si="8"/>
        <v>Tue</v>
      </c>
    </row>
    <row r="550" ht="15.0" customHeight="1">
      <c r="A550" s="4">
        <v>42186.0</v>
      </c>
      <c r="B550" s="2">
        <v>305231.91</v>
      </c>
      <c r="C550" s="2">
        <v>324248.84</v>
      </c>
      <c r="D550" s="2">
        <v>8086.0</v>
      </c>
      <c r="E550" s="5">
        <f t="shared" si="1"/>
        <v>37.74819565</v>
      </c>
      <c r="F550" s="7">
        <f t="shared" si="2"/>
        <v>-0.06230321725</v>
      </c>
      <c r="G550" s="5">
        <f t="shared" si="3"/>
        <v>-2.351834034</v>
      </c>
      <c r="H550" s="7">
        <f t="shared" si="4"/>
        <v>-0.06230321725</v>
      </c>
      <c r="I550" s="2" t="str">
        <f t="shared" si="5"/>
        <v>2015-07</v>
      </c>
      <c r="J550" s="2">
        <f t="shared" si="6"/>
        <v>2015</v>
      </c>
      <c r="K550" s="2">
        <f t="shared" si="7"/>
        <v>4</v>
      </c>
      <c r="L550" s="2" t="str">
        <f t="shared" si="8"/>
        <v>Wed</v>
      </c>
    </row>
    <row r="551" ht="15.0" customHeight="1">
      <c r="A551" s="4">
        <v>42187.0</v>
      </c>
      <c r="B551" s="2">
        <v>250481.62</v>
      </c>
      <c r="C551" s="2">
        <v>266061.93</v>
      </c>
      <c r="D551" s="2">
        <v>6639.0</v>
      </c>
      <c r="E551" s="5">
        <f t="shared" si="1"/>
        <v>37.72881759</v>
      </c>
      <c r="F551" s="7">
        <f t="shared" si="2"/>
        <v>-0.06220141023</v>
      </c>
      <c r="G551" s="5">
        <f t="shared" si="3"/>
        <v>-2.34678566</v>
      </c>
      <c r="H551" s="7">
        <f t="shared" si="4"/>
        <v>-0.06220141023</v>
      </c>
      <c r="I551" s="2" t="str">
        <f t="shared" si="5"/>
        <v>2015-07</v>
      </c>
      <c r="J551" s="2">
        <f t="shared" si="6"/>
        <v>2015</v>
      </c>
      <c r="K551" s="2">
        <f t="shared" si="7"/>
        <v>5</v>
      </c>
      <c r="L551" s="2" t="str">
        <f t="shared" si="8"/>
        <v>Thu</v>
      </c>
    </row>
    <row r="552" ht="15.0" customHeight="1">
      <c r="A552" s="4">
        <v>42188.0</v>
      </c>
      <c r="B552" s="2">
        <v>268410.48</v>
      </c>
      <c r="C552" s="2">
        <v>284592.99</v>
      </c>
      <c r="D552" s="2">
        <v>7104.0</v>
      </c>
      <c r="E552" s="5">
        <f t="shared" si="1"/>
        <v>37.78300676</v>
      </c>
      <c r="F552" s="7">
        <f t="shared" si="2"/>
        <v>-0.06029015708</v>
      </c>
      <c r="G552" s="5">
        <f t="shared" si="3"/>
        <v>-2.277943412</v>
      </c>
      <c r="H552" s="7">
        <f t="shared" si="4"/>
        <v>-0.06029015708</v>
      </c>
      <c r="I552" s="2" t="str">
        <f t="shared" si="5"/>
        <v>2015-07</v>
      </c>
      <c r="J552" s="2">
        <f t="shared" si="6"/>
        <v>2015</v>
      </c>
      <c r="K552" s="2">
        <f t="shared" si="7"/>
        <v>6</v>
      </c>
      <c r="L552" s="2" t="str">
        <f t="shared" si="8"/>
        <v>Fri</v>
      </c>
    </row>
    <row r="553" ht="15.0" customHeight="1">
      <c r="A553" s="4">
        <v>42189.0</v>
      </c>
      <c r="B553" s="2">
        <v>316365.5</v>
      </c>
      <c r="C553" s="2">
        <v>335025.08</v>
      </c>
      <c r="D553" s="2">
        <v>8364.0</v>
      </c>
      <c r="E553" s="5">
        <f t="shared" si="1"/>
        <v>37.82466523</v>
      </c>
      <c r="F553" s="7">
        <f t="shared" si="2"/>
        <v>-0.05898108359</v>
      </c>
      <c r="G553" s="5">
        <f t="shared" si="3"/>
        <v>-2.230939742</v>
      </c>
      <c r="H553" s="7">
        <f t="shared" si="4"/>
        <v>-0.05898108359</v>
      </c>
      <c r="I553" s="2" t="str">
        <f t="shared" si="5"/>
        <v>2015-07</v>
      </c>
      <c r="J553" s="2">
        <f t="shared" si="6"/>
        <v>2015</v>
      </c>
      <c r="K553" s="2">
        <f t="shared" si="7"/>
        <v>7</v>
      </c>
      <c r="L553" s="2" t="str">
        <f t="shared" si="8"/>
        <v>Sat</v>
      </c>
    </row>
    <row r="554" ht="15.0" customHeight="1">
      <c r="A554" s="4">
        <v>42190.0</v>
      </c>
      <c r="B554" s="2">
        <v>156873.04</v>
      </c>
      <c r="C554" s="2">
        <v>165968.62</v>
      </c>
      <c r="D554" s="2">
        <v>4146.0</v>
      </c>
      <c r="E554" s="5">
        <f t="shared" si="1"/>
        <v>37.83720212</v>
      </c>
      <c r="F554" s="7">
        <f t="shared" si="2"/>
        <v>-0.05798051724</v>
      </c>
      <c r="G554" s="5">
        <f t="shared" si="3"/>
        <v>-2.19382055</v>
      </c>
      <c r="H554" s="7">
        <f t="shared" si="4"/>
        <v>-0.05798051724</v>
      </c>
      <c r="I554" s="2" t="str">
        <f t="shared" si="5"/>
        <v>2015-07</v>
      </c>
      <c r="J554" s="2">
        <f t="shared" si="6"/>
        <v>2015</v>
      </c>
      <c r="K554" s="2">
        <f t="shared" si="7"/>
        <v>1</v>
      </c>
      <c r="L554" s="2" t="str">
        <f t="shared" si="8"/>
        <v>Sun</v>
      </c>
    </row>
    <row r="555" ht="15.0" customHeight="1">
      <c r="A555" s="4">
        <v>42191.0</v>
      </c>
      <c r="B555" s="2">
        <v>173987.75</v>
      </c>
      <c r="C555" s="2">
        <v>184188.98</v>
      </c>
      <c r="D555" s="2">
        <v>4601.0</v>
      </c>
      <c r="E555" s="5">
        <f t="shared" si="1"/>
        <v>37.81520322</v>
      </c>
      <c r="F555" s="7">
        <f t="shared" si="2"/>
        <v>-0.05863188644</v>
      </c>
      <c r="G555" s="5">
        <f t="shared" si="3"/>
        <v>-2.217176701</v>
      </c>
      <c r="H555" s="7">
        <f t="shared" si="4"/>
        <v>-0.05863188644</v>
      </c>
      <c r="I555" s="2" t="str">
        <f t="shared" si="5"/>
        <v>2015-07</v>
      </c>
      <c r="J555" s="2">
        <f t="shared" si="6"/>
        <v>2015</v>
      </c>
      <c r="K555" s="2">
        <f t="shared" si="7"/>
        <v>2</v>
      </c>
      <c r="L555" s="2" t="str">
        <f t="shared" si="8"/>
        <v>Mon</v>
      </c>
    </row>
    <row r="556" ht="15.0" customHeight="1">
      <c r="A556" s="4">
        <v>42192.0</v>
      </c>
      <c r="B556" s="2">
        <v>135753.77</v>
      </c>
      <c r="C556" s="2">
        <v>143799.6</v>
      </c>
      <c r="D556" s="2">
        <v>3593.0</v>
      </c>
      <c r="E556" s="5">
        <f t="shared" si="1"/>
        <v>37.7828472</v>
      </c>
      <c r="F556" s="7">
        <f t="shared" si="2"/>
        <v>-0.05926781997</v>
      </c>
      <c r="G556" s="5">
        <f t="shared" si="3"/>
        <v>-2.239306986</v>
      </c>
      <c r="H556" s="7">
        <f t="shared" si="4"/>
        <v>-0.05926781997</v>
      </c>
      <c r="I556" s="2" t="str">
        <f t="shared" si="5"/>
        <v>2015-07</v>
      </c>
      <c r="J556" s="2">
        <f t="shared" si="6"/>
        <v>2015</v>
      </c>
      <c r="K556" s="2">
        <f t="shared" si="7"/>
        <v>3</v>
      </c>
      <c r="L556" s="2" t="str">
        <f t="shared" si="8"/>
        <v>Tue</v>
      </c>
    </row>
    <row r="557" ht="15.0" customHeight="1">
      <c r="A557" s="4">
        <v>42193.0</v>
      </c>
      <c r="B557" s="2">
        <v>84426.51</v>
      </c>
      <c r="C557" s="2">
        <v>84588.96</v>
      </c>
      <c r="D557" s="2">
        <v>2114.0</v>
      </c>
      <c r="E557" s="5">
        <f t="shared" si="1"/>
        <v>39.9368543</v>
      </c>
      <c r="F557" s="7">
        <f t="shared" si="2"/>
        <v>-0.001924158656</v>
      </c>
      <c r="G557" s="5">
        <f t="shared" si="3"/>
        <v>-0.0768448439</v>
      </c>
      <c r="H557" s="7">
        <f t="shared" si="4"/>
        <v>-0.001924158656</v>
      </c>
      <c r="I557" s="2" t="str">
        <f t="shared" si="5"/>
        <v>2015-07</v>
      </c>
      <c r="J557" s="2">
        <f t="shared" si="6"/>
        <v>2015</v>
      </c>
      <c r="K557" s="2">
        <f t="shared" si="7"/>
        <v>4</v>
      </c>
      <c r="L557" s="2" t="str">
        <f t="shared" si="8"/>
        <v>Wed</v>
      </c>
    </row>
    <row r="558" ht="15.0" customHeight="1">
      <c r="A558" s="4">
        <v>42194.0</v>
      </c>
      <c r="B558" s="2">
        <v>70815.19</v>
      </c>
      <c r="C558" s="2">
        <v>71913.07</v>
      </c>
      <c r="D558" s="2">
        <v>1797.0</v>
      </c>
      <c r="E558" s="5">
        <f t="shared" si="1"/>
        <v>39.40745131</v>
      </c>
      <c r="F558" s="7">
        <f t="shared" si="2"/>
        <v>-0.01550345343</v>
      </c>
      <c r="G558" s="5">
        <f t="shared" si="3"/>
        <v>-0.610951586</v>
      </c>
      <c r="H558" s="7">
        <f t="shared" si="4"/>
        <v>-0.01550345343</v>
      </c>
      <c r="I558" s="2" t="str">
        <f t="shared" si="5"/>
        <v>2015-07</v>
      </c>
      <c r="J558" s="2">
        <f t="shared" si="6"/>
        <v>2015</v>
      </c>
      <c r="K558" s="2">
        <f t="shared" si="7"/>
        <v>5</v>
      </c>
      <c r="L558" s="2" t="str">
        <f t="shared" si="8"/>
        <v>Thu</v>
      </c>
    </row>
    <row r="559" ht="15.0" customHeight="1">
      <c r="A559" s="4">
        <v>42195.0</v>
      </c>
      <c r="B559" s="2">
        <v>125983.15</v>
      </c>
      <c r="C559" s="2">
        <v>127884.59</v>
      </c>
      <c r="D559" s="2">
        <v>3195.0</v>
      </c>
      <c r="E559" s="5">
        <f t="shared" si="1"/>
        <v>39.43134585</v>
      </c>
      <c r="F559" s="7">
        <f t="shared" si="2"/>
        <v>-0.01509281201</v>
      </c>
      <c r="G559" s="5">
        <f t="shared" si="3"/>
        <v>-0.5951298905</v>
      </c>
      <c r="H559" s="7">
        <f t="shared" si="4"/>
        <v>-0.01509281201</v>
      </c>
      <c r="I559" s="2" t="str">
        <f t="shared" si="5"/>
        <v>2015-07</v>
      </c>
      <c r="J559" s="2">
        <f t="shared" si="6"/>
        <v>2015</v>
      </c>
      <c r="K559" s="2">
        <f t="shared" si="7"/>
        <v>6</v>
      </c>
      <c r="L559" s="2" t="str">
        <f t="shared" si="8"/>
        <v>Fri</v>
      </c>
    </row>
    <row r="560" ht="15.0" customHeight="1">
      <c r="A560" s="4">
        <v>42196.0</v>
      </c>
      <c r="B560" s="2">
        <v>142378.18</v>
      </c>
      <c r="C560" s="2">
        <v>143924.57</v>
      </c>
      <c r="D560" s="2">
        <v>3595.0</v>
      </c>
      <c r="E560" s="5">
        <f t="shared" si="1"/>
        <v>39.6045007</v>
      </c>
      <c r="F560" s="7">
        <f t="shared" si="2"/>
        <v>-0.01086114459</v>
      </c>
      <c r="G560" s="5">
        <f t="shared" si="3"/>
        <v>-0.4301502086</v>
      </c>
      <c r="H560" s="7">
        <f t="shared" si="4"/>
        <v>-0.01086114459</v>
      </c>
      <c r="I560" s="2" t="str">
        <f t="shared" si="5"/>
        <v>2015-07</v>
      </c>
      <c r="J560" s="2">
        <f t="shared" si="6"/>
        <v>2015</v>
      </c>
      <c r="K560" s="2">
        <f t="shared" si="7"/>
        <v>7</v>
      </c>
      <c r="L560" s="2" t="str">
        <f t="shared" si="8"/>
        <v>Sat</v>
      </c>
    </row>
    <row r="561" ht="15.0" customHeight="1">
      <c r="A561" s="4">
        <v>42197.0</v>
      </c>
      <c r="B561" s="2">
        <v>57427.68</v>
      </c>
      <c r="C561" s="2">
        <v>58723.04</v>
      </c>
      <c r="D561" s="2">
        <v>1467.0</v>
      </c>
      <c r="E561" s="5">
        <f t="shared" si="1"/>
        <v>39.14633947</v>
      </c>
      <c r="F561" s="7">
        <f t="shared" si="2"/>
        <v>-0.02255637003</v>
      </c>
      <c r="G561" s="5">
        <f t="shared" si="3"/>
        <v>-0.8829993183</v>
      </c>
      <c r="H561" s="7">
        <f t="shared" si="4"/>
        <v>-0.02255637003</v>
      </c>
      <c r="I561" s="2" t="str">
        <f t="shared" si="5"/>
        <v>2015-07</v>
      </c>
      <c r="J561" s="2">
        <f t="shared" si="6"/>
        <v>2015</v>
      </c>
      <c r="K561" s="2">
        <f t="shared" si="7"/>
        <v>1</v>
      </c>
      <c r="L561" s="2" t="str">
        <f t="shared" si="8"/>
        <v>Sun</v>
      </c>
    </row>
    <row r="562" ht="15.0" customHeight="1">
      <c r="A562" s="4">
        <v>42198.0</v>
      </c>
      <c r="B562" s="2">
        <v>63331.33</v>
      </c>
      <c r="C562" s="2">
        <v>64690.06</v>
      </c>
      <c r="D562" s="2">
        <v>1610.0</v>
      </c>
      <c r="E562" s="5">
        <f t="shared" si="1"/>
        <v>39.33622981</v>
      </c>
      <c r="F562" s="7">
        <f t="shared" si="2"/>
        <v>-0.02145431021</v>
      </c>
      <c r="G562" s="5">
        <f t="shared" si="3"/>
        <v>-0.843931677</v>
      </c>
      <c r="H562" s="7">
        <f t="shared" si="4"/>
        <v>-0.02145431021</v>
      </c>
      <c r="I562" s="2" t="str">
        <f t="shared" si="5"/>
        <v>2015-07</v>
      </c>
      <c r="J562" s="2">
        <f t="shared" si="6"/>
        <v>2015</v>
      </c>
      <c r="K562" s="2">
        <f t="shared" si="7"/>
        <v>2</v>
      </c>
      <c r="L562" s="2" t="str">
        <f t="shared" si="8"/>
        <v>Mon</v>
      </c>
    </row>
    <row r="563" ht="15.0" customHeight="1">
      <c r="A563" s="4">
        <v>42199.0</v>
      </c>
      <c r="B563" s="2">
        <v>51241.03</v>
      </c>
      <c r="C563" s="2">
        <v>52509.92</v>
      </c>
      <c r="D563" s="2">
        <v>1307.0</v>
      </c>
      <c r="E563" s="5">
        <f t="shared" si="1"/>
        <v>39.20507269</v>
      </c>
      <c r="F563" s="7">
        <f t="shared" si="2"/>
        <v>-0.02476316343</v>
      </c>
      <c r="G563" s="5">
        <f t="shared" si="3"/>
        <v>-0.970841622</v>
      </c>
      <c r="H563" s="7">
        <f t="shared" si="4"/>
        <v>-0.02476316343</v>
      </c>
      <c r="I563" s="2" t="str">
        <f t="shared" si="5"/>
        <v>2015-07</v>
      </c>
      <c r="J563" s="2">
        <f t="shared" si="6"/>
        <v>2015</v>
      </c>
      <c r="K563" s="2">
        <f t="shared" si="7"/>
        <v>3</v>
      </c>
      <c r="L563" s="2" t="str">
        <f t="shared" si="8"/>
        <v>Tue</v>
      </c>
    </row>
    <row r="564" ht="15.0" customHeight="1">
      <c r="A564" s="4">
        <v>42200.0</v>
      </c>
      <c r="B564" s="2">
        <v>80326.44</v>
      </c>
      <c r="C564" s="2">
        <v>81730.27</v>
      </c>
      <c r="D564" s="2">
        <v>2050.0</v>
      </c>
      <c r="E564" s="5">
        <f t="shared" si="1"/>
        <v>39.18362927</v>
      </c>
      <c r="F564" s="7">
        <f t="shared" si="2"/>
        <v>-0.01747656189</v>
      </c>
      <c r="G564" s="5">
        <f t="shared" si="3"/>
        <v>-0.684795122</v>
      </c>
      <c r="H564" s="7">
        <f t="shared" si="4"/>
        <v>-0.01747656189</v>
      </c>
      <c r="I564" s="2" t="str">
        <f t="shared" si="5"/>
        <v>2015-07</v>
      </c>
      <c r="J564" s="2">
        <f t="shared" si="6"/>
        <v>2015</v>
      </c>
      <c r="K564" s="2">
        <f t="shared" si="7"/>
        <v>4</v>
      </c>
      <c r="L564" s="2" t="str">
        <f t="shared" si="8"/>
        <v>Wed</v>
      </c>
    </row>
    <row r="565" ht="15.0" customHeight="1">
      <c r="A565" s="4">
        <v>42201.0</v>
      </c>
      <c r="B565" s="2">
        <v>71912.57</v>
      </c>
      <c r="C565" s="2">
        <v>73762.63</v>
      </c>
      <c r="D565" s="2">
        <v>1849.0</v>
      </c>
      <c r="E565" s="5">
        <f t="shared" si="1"/>
        <v>38.89268253</v>
      </c>
      <c r="F565" s="7">
        <f t="shared" si="2"/>
        <v>-0.02572651763</v>
      </c>
      <c r="G565" s="5">
        <f t="shared" si="3"/>
        <v>-1.000573283</v>
      </c>
      <c r="H565" s="7">
        <f t="shared" si="4"/>
        <v>-0.02572651763</v>
      </c>
      <c r="I565" s="2" t="str">
        <f t="shared" si="5"/>
        <v>2015-07</v>
      </c>
      <c r="J565" s="2">
        <f t="shared" si="6"/>
        <v>2015</v>
      </c>
      <c r="K565" s="2">
        <f t="shared" si="7"/>
        <v>5</v>
      </c>
      <c r="L565" s="2" t="str">
        <f t="shared" si="8"/>
        <v>Thu</v>
      </c>
    </row>
    <row r="566" ht="15.0" customHeight="1">
      <c r="A566" s="4">
        <v>42202.0</v>
      </c>
      <c r="B566" s="2">
        <v>119204.31</v>
      </c>
      <c r="C566" s="2">
        <v>122669.7</v>
      </c>
      <c r="D566" s="2">
        <v>3070.0</v>
      </c>
      <c r="E566" s="5">
        <f t="shared" si="1"/>
        <v>38.82876547</v>
      </c>
      <c r="F566" s="7">
        <f t="shared" si="2"/>
        <v>-0.02907101262</v>
      </c>
      <c r="G566" s="5">
        <f t="shared" si="3"/>
        <v>-1.128791531</v>
      </c>
      <c r="H566" s="7">
        <f t="shared" si="4"/>
        <v>-0.02907101262</v>
      </c>
      <c r="I566" s="2" t="str">
        <f t="shared" si="5"/>
        <v>2015-07</v>
      </c>
      <c r="J566" s="2">
        <f t="shared" si="6"/>
        <v>2015</v>
      </c>
      <c r="K566" s="2">
        <f t="shared" si="7"/>
        <v>6</v>
      </c>
      <c r="L566" s="2" t="str">
        <f t="shared" si="8"/>
        <v>Fri</v>
      </c>
    </row>
    <row r="567" ht="15.0" customHeight="1">
      <c r="A567" s="4">
        <v>42203.0</v>
      </c>
      <c r="B567" s="2">
        <v>129441.28</v>
      </c>
      <c r="C567" s="2">
        <v>132493.43</v>
      </c>
      <c r="D567" s="2">
        <v>3322.0</v>
      </c>
      <c r="E567" s="5">
        <f t="shared" si="1"/>
        <v>38.96486454</v>
      </c>
      <c r="F567" s="7">
        <f t="shared" si="2"/>
        <v>-0.02357941763</v>
      </c>
      <c r="G567" s="5">
        <f t="shared" si="3"/>
        <v>-0.918768814</v>
      </c>
      <c r="H567" s="7">
        <f t="shared" si="4"/>
        <v>-0.02357941763</v>
      </c>
      <c r="I567" s="2" t="str">
        <f t="shared" si="5"/>
        <v>2015-07</v>
      </c>
      <c r="J567" s="2">
        <f t="shared" si="6"/>
        <v>2015</v>
      </c>
      <c r="K567" s="2">
        <f t="shared" si="7"/>
        <v>7</v>
      </c>
      <c r="L567" s="2" t="str">
        <f t="shared" si="8"/>
        <v>Sat</v>
      </c>
    </row>
    <row r="568" ht="15.0" customHeight="1">
      <c r="A568" s="4">
        <v>42204.0</v>
      </c>
      <c r="B568" s="2">
        <v>77645.75</v>
      </c>
      <c r="C568" s="2">
        <v>79555.63</v>
      </c>
      <c r="D568" s="2">
        <v>1982.0</v>
      </c>
      <c r="E568" s="5">
        <f t="shared" si="1"/>
        <v>39.17545409</v>
      </c>
      <c r="F568" s="7">
        <f t="shared" si="2"/>
        <v>-0.02459735401</v>
      </c>
      <c r="G568" s="5">
        <f t="shared" si="3"/>
        <v>-0.9636125126</v>
      </c>
      <c r="H568" s="7">
        <f t="shared" si="4"/>
        <v>-0.02459735401</v>
      </c>
      <c r="I568" s="2" t="str">
        <f t="shared" si="5"/>
        <v>2015-07</v>
      </c>
      <c r="J568" s="2">
        <f t="shared" si="6"/>
        <v>2015</v>
      </c>
      <c r="K568" s="2">
        <f t="shared" si="7"/>
        <v>1</v>
      </c>
      <c r="L568" s="2" t="str">
        <f t="shared" si="8"/>
        <v>Sun</v>
      </c>
    </row>
    <row r="569" ht="15.0" customHeight="1">
      <c r="A569" s="4">
        <v>42205.0</v>
      </c>
      <c r="B569" s="2">
        <v>69926.65</v>
      </c>
      <c r="C569" s="2">
        <v>71362.52</v>
      </c>
      <c r="D569" s="2">
        <v>1787.0</v>
      </c>
      <c r="E569" s="5">
        <f t="shared" si="1"/>
        <v>39.13074986</v>
      </c>
      <c r="F569" s="7">
        <f t="shared" si="2"/>
        <v>-0.02053394521</v>
      </c>
      <c r="G569" s="5">
        <f t="shared" si="3"/>
        <v>-0.8035086738</v>
      </c>
      <c r="H569" s="7">
        <f t="shared" si="4"/>
        <v>-0.02053394521</v>
      </c>
      <c r="I569" s="2" t="str">
        <f t="shared" si="5"/>
        <v>2015-07</v>
      </c>
      <c r="J569" s="2">
        <f t="shared" si="6"/>
        <v>2015</v>
      </c>
      <c r="K569" s="2">
        <f t="shared" si="7"/>
        <v>2</v>
      </c>
      <c r="L569" s="2" t="str">
        <f t="shared" si="8"/>
        <v>Mon</v>
      </c>
    </row>
    <row r="570" ht="15.0" customHeight="1">
      <c r="A570" s="4">
        <v>42206.0</v>
      </c>
      <c r="B570" s="2">
        <v>71973.04</v>
      </c>
      <c r="C570" s="2">
        <v>73851.79</v>
      </c>
      <c r="D570" s="2">
        <v>1846.0</v>
      </c>
      <c r="E570" s="5">
        <f t="shared" si="1"/>
        <v>38.98864572</v>
      </c>
      <c r="F570" s="7">
        <f t="shared" si="2"/>
        <v>-0.02610352432</v>
      </c>
      <c r="G570" s="5">
        <f t="shared" si="3"/>
        <v>-1.017741062</v>
      </c>
      <c r="H570" s="7">
        <f t="shared" si="4"/>
        <v>-0.02610352432</v>
      </c>
      <c r="I570" s="2" t="str">
        <f t="shared" si="5"/>
        <v>2015-07</v>
      </c>
      <c r="J570" s="2">
        <f t="shared" si="6"/>
        <v>2015</v>
      </c>
      <c r="K570" s="2">
        <f t="shared" si="7"/>
        <v>3</v>
      </c>
      <c r="L570" s="2" t="str">
        <f t="shared" si="8"/>
        <v>Tue</v>
      </c>
    </row>
    <row r="571" ht="15.0" customHeight="1">
      <c r="A571" s="4">
        <v>42207.0</v>
      </c>
      <c r="B571" s="2">
        <v>44304.9</v>
      </c>
      <c r="C571" s="2">
        <v>45468.84</v>
      </c>
      <c r="D571" s="2">
        <v>1142.0</v>
      </c>
      <c r="E571" s="5">
        <f t="shared" si="1"/>
        <v>38.79588441</v>
      </c>
      <c r="F571" s="7">
        <f t="shared" si="2"/>
        <v>-0.0262711348</v>
      </c>
      <c r="G571" s="5">
        <f t="shared" si="3"/>
        <v>-1.019211909</v>
      </c>
      <c r="H571" s="7">
        <f t="shared" si="4"/>
        <v>-0.0262711348</v>
      </c>
      <c r="I571" s="2" t="str">
        <f t="shared" si="5"/>
        <v>2015-07</v>
      </c>
      <c r="J571" s="2">
        <f t="shared" si="6"/>
        <v>2015</v>
      </c>
      <c r="K571" s="2">
        <f t="shared" si="7"/>
        <v>4</v>
      </c>
      <c r="L571" s="2" t="str">
        <f t="shared" si="8"/>
        <v>Wed</v>
      </c>
    </row>
    <row r="572" ht="15.0" customHeight="1">
      <c r="A572" s="4">
        <v>42208.0</v>
      </c>
      <c r="B572" s="2">
        <v>66799.72</v>
      </c>
      <c r="C572" s="2">
        <v>69323.65</v>
      </c>
      <c r="D572" s="2">
        <v>1734.0</v>
      </c>
      <c r="E572" s="5">
        <f t="shared" si="1"/>
        <v>38.52348328</v>
      </c>
      <c r="F572" s="7">
        <f t="shared" si="2"/>
        <v>-0.03778354161</v>
      </c>
      <c r="G572" s="5">
        <f t="shared" si="3"/>
        <v>-1.455553633</v>
      </c>
      <c r="H572" s="7">
        <f t="shared" si="4"/>
        <v>-0.03778354161</v>
      </c>
      <c r="I572" s="2" t="str">
        <f t="shared" si="5"/>
        <v>2015-07</v>
      </c>
      <c r="J572" s="2">
        <f t="shared" si="6"/>
        <v>2015</v>
      </c>
      <c r="K572" s="2">
        <f t="shared" si="7"/>
        <v>5</v>
      </c>
      <c r="L572" s="2" t="str">
        <f t="shared" si="8"/>
        <v>Thu</v>
      </c>
    </row>
    <row r="573" ht="15.0" customHeight="1">
      <c r="A573" s="4">
        <v>42209.0</v>
      </c>
      <c r="B573" s="2">
        <v>125689.59</v>
      </c>
      <c r="C573" s="2">
        <v>130428.23</v>
      </c>
      <c r="D573" s="2">
        <v>3259.0</v>
      </c>
      <c r="E573" s="5">
        <f t="shared" si="1"/>
        <v>38.5669193</v>
      </c>
      <c r="F573" s="7">
        <f t="shared" si="2"/>
        <v>-0.0377011334</v>
      </c>
      <c r="G573" s="5">
        <f t="shared" si="3"/>
        <v>-1.454016569</v>
      </c>
      <c r="H573" s="7">
        <f t="shared" si="4"/>
        <v>-0.0377011334</v>
      </c>
      <c r="I573" s="2" t="str">
        <f t="shared" si="5"/>
        <v>2015-07</v>
      </c>
      <c r="J573" s="2">
        <f t="shared" si="6"/>
        <v>2015</v>
      </c>
      <c r="K573" s="2">
        <f t="shared" si="7"/>
        <v>6</v>
      </c>
      <c r="L573" s="2" t="str">
        <f t="shared" si="8"/>
        <v>Fri</v>
      </c>
    </row>
    <row r="574" ht="15.0" customHeight="1">
      <c r="A574" s="4">
        <v>42210.0</v>
      </c>
      <c r="B574" s="2">
        <v>138624.95</v>
      </c>
      <c r="C574" s="2">
        <v>143537.4</v>
      </c>
      <c r="D574" s="2">
        <v>3572.0</v>
      </c>
      <c r="E574" s="5">
        <f t="shared" si="1"/>
        <v>38.8087766</v>
      </c>
      <c r="F574" s="7">
        <f t="shared" si="2"/>
        <v>-0.03543698303</v>
      </c>
      <c r="G574" s="5">
        <f t="shared" si="3"/>
        <v>-1.375265957</v>
      </c>
      <c r="H574" s="7">
        <f t="shared" si="4"/>
        <v>-0.03543698303</v>
      </c>
      <c r="I574" s="2" t="str">
        <f t="shared" si="5"/>
        <v>2015-07</v>
      </c>
      <c r="J574" s="2">
        <f t="shared" si="6"/>
        <v>2015</v>
      </c>
      <c r="K574" s="2">
        <f t="shared" si="7"/>
        <v>7</v>
      </c>
      <c r="L574" s="2" t="str">
        <f t="shared" si="8"/>
        <v>Sat</v>
      </c>
    </row>
    <row r="575" ht="15.0" customHeight="1">
      <c r="A575" s="4">
        <v>42211.0</v>
      </c>
      <c r="B575" s="2">
        <v>81715.05</v>
      </c>
      <c r="C575" s="2">
        <v>85089.22</v>
      </c>
      <c r="D575" s="2">
        <v>2109.0</v>
      </c>
      <c r="E575" s="5">
        <f t="shared" si="1"/>
        <v>38.74587482</v>
      </c>
      <c r="F575" s="7">
        <f t="shared" si="2"/>
        <v>-0.041291904</v>
      </c>
      <c r="G575" s="5">
        <f t="shared" si="3"/>
        <v>-1.599890944</v>
      </c>
      <c r="H575" s="7">
        <f t="shared" si="4"/>
        <v>-0.041291904</v>
      </c>
      <c r="I575" s="2" t="str">
        <f t="shared" si="5"/>
        <v>2015-07</v>
      </c>
      <c r="J575" s="2">
        <f t="shared" si="6"/>
        <v>2015</v>
      </c>
      <c r="K575" s="2">
        <f t="shared" si="7"/>
        <v>1</v>
      </c>
      <c r="L575" s="2" t="str">
        <f t="shared" si="8"/>
        <v>Sun</v>
      </c>
    </row>
    <row r="576" ht="15.0" customHeight="1">
      <c r="A576" s="4">
        <v>42212.0</v>
      </c>
      <c r="B576" s="2">
        <v>86842.86</v>
      </c>
      <c r="C576" s="2">
        <v>90242.79</v>
      </c>
      <c r="D576" s="2">
        <v>2242.0</v>
      </c>
      <c r="E576" s="5">
        <f t="shared" si="1"/>
        <v>38.73454951</v>
      </c>
      <c r="F576" s="7">
        <f t="shared" si="2"/>
        <v>-0.03915036884</v>
      </c>
      <c r="G576" s="5">
        <f t="shared" si="3"/>
        <v>-1.5164719</v>
      </c>
      <c r="H576" s="7">
        <f t="shared" si="4"/>
        <v>-0.03915036884</v>
      </c>
      <c r="I576" s="2" t="str">
        <f t="shared" si="5"/>
        <v>2015-07</v>
      </c>
      <c r="J576" s="2">
        <f t="shared" si="6"/>
        <v>2015</v>
      </c>
      <c r="K576" s="2">
        <f t="shared" si="7"/>
        <v>2</v>
      </c>
      <c r="L576" s="2" t="str">
        <f t="shared" si="8"/>
        <v>Mon</v>
      </c>
    </row>
    <row r="577" ht="15.0" customHeight="1">
      <c r="A577" s="4">
        <v>42213.0</v>
      </c>
      <c r="B577" s="2">
        <v>56976.79</v>
      </c>
      <c r="C577" s="2">
        <v>59094.08</v>
      </c>
      <c r="D577" s="2">
        <v>1474.0</v>
      </c>
      <c r="E577" s="5">
        <f t="shared" si="1"/>
        <v>38.65453867</v>
      </c>
      <c r="F577" s="7">
        <f t="shared" si="2"/>
        <v>-0.03716057012</v>
      </c>
      <c r="G577" s="5">
        <f t="shared" si="3"/>
        <v>-1.436424695</v>
      </c>
      <c r="H577" s="7">
        <f t="shared" si="4"/>
        <v>-0.03716057012</v>
      </c>
      <c r="I577" s="2" t="str">
        <f t="shared" si="5"/>
        <v>2015-07</v>
      </c>
      <c r="J577" s="2">
        <f t="shared" si="6"/>
        <v>2015</v>
      </c>
      <c r="K577" s="2">
        <f t="shared" si="7"/>
        <v>3</v>
      </c>
      <c r="L577" s="2" t="str">
        <f t="shared" si="8"/>
        <v>Tue</v>
      </c>
    </row>
    <row r="578" ht="15.0" customHeight="1">
      <c r="A578" s="4">
        <v>42214.0</v>
      </c>
      <c r="B578" s="2">
        <v>53433.67</v>
      </c>
      <c r="C578" s="2">
        <v>55516.53</v>
      </c>
      <c r="D578" s="2">
        <v>1381.0</v>
      </c>
      <c r="E578" s="5">
        <f t="shared" si="1"/>
        <v>38.69201303</v>
      </c>
      <c r="F578" s="7">
        <f t="shared" si="2"/>
        <v>-0.03898029089</v>
      </c>
      <c r="G578" s="5">
        <f t="shared" si="3"/>
        <v>-1.508225923</v>
      </c>
      <c r="H578" s="7">
        <f t="shared" si="4"/>
        <v>-0.03898029089</v>
      </c>
      <c r="I578" s="2" t="str">
        <f t="shared" si="5"/>
        <v>2015-07</v>
      </c>
      <c r="J578" s="2">
        <f t="shared" si="6"/>
        <v>2015</v>
      </c>
      <c r="K578" s="2">
        <f t="shared" si="7"/>
        <v>4</v>
      </c>
      <c r="L578" s="2" t="str">
        <f t="shared" si="8"/>
        <v>Wed</v>
      </c>
    </row>
    <row r="579" ht="15.0" customHeight="1">
      <c r="A579" s="4">
        <v>42215.0</v>
      </c>
      <c r="B579" s="2">
        <v>55134.08</v>
      </c>
      <c r="C579" s="2">
        <v>57064.75</v>
      </c>
      <c r="D579" s="2">
        <v>1423.0</v>
      </c>
      <c r="E579" s="5">
        <f t="shared" si="1"/>
        <v>38.74496135</v>
      </c>
      <c r="F579" s="7">
        <f t="shared" si="2"/>
        <v>-0.03501772406</v>
      </c>
      <c r="G579" s="5">
        <f t="shared" si="3"/>
        <v>-1.356760365</v>
      </c>
      <c r="H579" s="7">
        <f t="shared" si="4"/>
        <v>-0.03501772406</v>
      </c>
      <c r="I579" s="2" t="str">
        <f t="shared" si="5"/>
        <v>2015-07</v>
      </c>
      <c r="J579" s="2">
        <f t="shared" si="6"/>
        <v>2015</v>
      </c>
      <c r="K579" s="2">
        <f t="shared" si="7"/>
        <v>5</v>
      </c>
      <c r="L579" s="2" t="str">
        <f t="shared" si="8"/>
        <v>Thu</v>
      </c>
    </row>
    <row r="580" ht="15.0" customHeight="1">
      <c r="A580" s="4">
        <v>42216.0</v>
      </c>
      <c r="B580" s="2">
        <v>145033.61</v>
      </c>
      <c r="C580" s="2">
        <v>149876.87</v>
      </c>
      <c r="D580" s="2">
        <v>3740.0</v>
      </c>
      <c r="E580" s="5">
        <f t="shared" si="1"/>
        <v>38.77904011</v>
      </c>
      <c r="F580" s="7">
        <f t="shared" si="2"/>
        <v>-0.03339405259</v>
      </c>
      <c r="G580" s="5">
        <f t="shared" si="3"/>
        <v>-1.294989305</v>
      </c>
      <c r="H580" s="7">
        <f t="shared" si="4"/>
        <v>-0.03339405259</v>
      </c>
      <c r="I580" s="2" t="str">
        <f t="shared" si="5"/>
        <v>2015-07</v>
      </c>
      <c r="J580" s="2">
        <f t="shared" si="6"/>
        <v>2015</v>
      </c>
      <c r="K580" s="2">
        <f t="shared" si="7"/>
        <v>6</v>
      </c>
      <c r="L580" s="2" t="str">
        <f t="shared" si="8"/>
        <v>Fri</v>
      </c>
    </row>
    <row r="581" ht="15.0" customHeight="1">
      <c r="A581" s="4">
        <v>42217.0</v>
      </c>
      <c r="B581" s="2">
        <v>173306.91</v>
      </c>
      <c r="C581" s="2">
        <v>178699.98</v>
      </c>
      <c r="D581" s="2">
        <v>4453.0</v>
      </c>
      <c r="E581" s="5">
        <f t="shared" si="1"/>
        <v>38.91913541</v>
      </c>
      <c r="F581" s="7">
        <f t="shared" si="2"/>
        <v>-0.03111860918</v>
      </c>
      <c r="G581" s="5">
        <f t="shared" si="3"/>
        <v>-1.211109364</v>
      </c>
      <c r="H581" s="7">
        <f t="shared" si="4"/>
        <v>-0.03111860918</v>
      </c>
      <c r="I581" s="2" t="str">
        <f t="shared" si="5"/>
        <v>2015-08</v>
      </c>
      <c r="J581" s="2">
        <f t="shared" si="6"/>
        <v>2015</v>
      </c>
      <c r="K581" s="2">
        <f t="shared" si="7"/>
        <v>7</v>
      </c>
      <c r="L581" s="2" t="str">
        <f t="shared" si="8"/>
        <v>Sat</v>
      </c>
    </row>
    <row r="582" ht="15.0" customHeight="1">
      <c r="A582" s="4">
        <v>42218.0</v>
      </c>
      <c r="B582" s="2">
        <v>88154.34</v>
      </c>
      <c r="C582" s="2">
        <v>90828.66</v>
      </c>
      <c r="D582" s="2">
        <v>2258.0</v>
      </c>
      <c r="E582" s="5">
        <f t="shared" si="1"/>
        <v>39.0408946</v>
      </c>
      <c r="F582" s="7">
        <f t="shared" si="2"/>
        <v>-0.0303367934</v>
      </c>
      <c r="G582" s="5">
        <f t="shared" si="3"/>
        <v>-1.184375554</v>
      </c>
      <c r="H582" s="7">
        <f t="shared" si="4"/>
        <v>-0.0303367934</v>
      </c>
      <c r="I582" s="2" t="str">
        <f t="shared" si="5"/>
        <v>2015-08</v>
      </c>
      <c r="J582" s="2">
        <f t="shared" si="6"/>
        <v>2015</v>
      </c>
      <c r="K582" s="2">
        <f t="shared" si="7"/>
        <v>1</v>
      </c>
      <c r="L582" s="2" t="str">
        <f t="shared" si="8"/>
        <v>Sun</v>
      </c>
    </row>
    <row r="583" ht="15.0" customHeight="1">
      <c r="A583" s="4">
        <v>42219.0</v>
      </c>
      <c r="B583" s="2">
        <v>81142.03</v>
      </c>
      <c r="C583" s="2">
        <v>83114.58</v>
      </c>
      <c r="D583" s="2">
        <v>2074.0</v>
      </c>
      <c r="E583" s="5">
        <f t="shared" si="1"/>
        <v>39.12344744</v>
      </c>
      <c r="F583" s="7">
        <f t="shared" si="2"/>
        <v>-0.02430984288</v>
      </c>
      <c r="G583" s="5">
        <f t="shared" si="3"/>
        <v>-0.9510848602</v>
      </c>
      <c r="H583" s="7">
        <f t="shared" si="4"/>
        <v>-0.02430984288</v>
      </c>
      <c r="I583" s="2" t="str">
        <f t="shared" si="5"/>
        <v>2015-08</v>
      </c>
      <c r="J583" s="2">
        <f t="shared" si="6"/>
        <v>2015</v>
      </c>
      <c r="K583" s="2">
        <f t="shared" si="7"/>
        <v>2</v>
      </c>
      <c r="L583" s="2" t="str">
        <f t="shared" si="8"/>
        <v>Mon</v>
      </c>
    </row>
    <row r="584" ht="15.0" customHeight="1">
      <c r="A584" s="4">
        <v>42220.0</v>
      </c>
      <c r="B584" s="2">
        <v>77672.88</v>
      </c>
      <c r="C584" s="2">
        <v>80417.75</v>
      </c>
      <c r="D584" s="2">
        <v>2007.0</v>
      </c>
      <c r="E584" s="5">
        <f t="shared" si="1"/>
        <v>38.70098655</v>
      </c>
      <c r="F584" s="7">
        <f t="shared" si="2"/>
        <v>-0.03533884671</v>
      </c>
      <c r="G584" s="5">
        <f t="shared" si="3"/>
        <v>-1.367648231</v>
      </c>
      <c r="H584" s="7">
        <f t="shared" si="4"/>
        <v>-0.03533884671</v>
      </c>
      <c r="I584" s="2" t="str">
        <f t="shared" si="5"/>
        <v>2015-08</v>
      </c>
      <c r="J584" s="2">
        <f t="shared" si="6"/>
        <v>2015</v>
      </c>
      <c r="K584" s="2">
        <f t="shared" si="7"/>
        <v>3</v>
      </c>
      <c r="L584" s="2" t="str">
        <f t="shared" si="8"/>
        <v>Tue</v>
      </c>
    </row>
    <row r="585" ht="15.0" customHeight="1">
      <c r="A585" s="4">
        <v>42221.0</v>
      </c>
      <c r="B585" s="2">
        <v>75483.42</v>
      </c>
      <c r="C585" s="2">
        <v>78024.28</v>
      </c>
      <c r="D585" s="2">
        <v>1948.0</v>
      </c>
      <c r="E585" s="5">
        <f t="shared" si="1"/>
        <v>38.74918891</v>
      </c>
      <c r="F585" s="7">
        <f t="shared" si="2"/>
        <v>-0.03366116692</v>
      </c>
      <c r="G585" s="5">
        <f t="shared" si="3"/>
        <v>-1.304342916</v>
      </c>
      <c r="H585" s="7">
        <f t="shared" si="4"/>
        <v>-0.03366116692</v>
      </c>
      <c r="I585" s="2" t="str">
        <f t="shared" si="5"/>
        <v>2015-08</v>
      </c>
      <c r="J585" s="2">
        <f t="shared" si="6"/>
        <v>2015</v>
      </c>
      <c r="K585" s="2">
        <f t="shared" si="7"/>
        <v>4</v>
      </c>
      <c r="L585" s="2" t="str">
        <f t="shared" si="8"/>
        <v>Wed</v>
      </c>
    </row>
    <row r="586" ht="15.0" customHeight="1">
      <c r="A586" s="4">
        <v>42222.0</v>
      </c>
      <c r="B586" s="2">
        <v>74354.57</v>
      </c>
      <c r="C586" s="2">
        <v>76978.31</v>
      </c>
      <c r="D586" s="2">
        <v>1922.0</v>
      </c>
      <c r="E586" s="5">
        <f t="shared" si="1"/>
        <v>38.68604058</v>
      </c>
      <c r="F586" s="7">
        <f t="shared" si="2"/>
        <v>-0.03528686939</v>
      </c>
      <c r="G586" s="5">
        <f t="shared" si="3"/>
        <v>-1.365109261</v>
      </c>
      <c r="H586" s="7">
        <f t="shared" si="4"/>
        <v>-0.03528686939</v>
      </c>
      <c r="I586" s="2" t="str">
        <f t="shared" si="5"/>
        <v>2015-08</v>
      </c>
      <c r="J586" s="2">
        <f t="shared" si="6"/>
        <v>2015</v>
      </c>
      <c r="K586" s="2">
        <f t="shared" si="7"/>
        <v>5</v>
      </c>
      <c r="L586" s="2" t="str">
        <f t="shared" si="8"/>
        <v>Thu</v>
      </c>
    </row>
    <row r="587" ht="15.0" customHeight="1">
      <c r="A587" s="4">
        <v>42223.0</v>
      </c>
      <c r="B587" s="2">
        <v>120326.88</v>
      </c>
      <c r="C587" s="2">
        <v>123707.76</v>
      </c>
      <c r="D587" s="2">
        <v>3088.0</v>
      </c>
      <c r="E587" s="5">
        <f t="shared" si="1"/>
        <v>38.96595855</v>
      </c>
      <c r="F587" s="7">
        <f t="shared" si="2"/>
        <v>-0.02809746251</v>
      </c>
      <c r="G587" s="5">
        <f t="shared" si="3"/>
        <v>-1.09484456</v>
      </c>
      <c r="H587" s="7">
        <f t="shared" si="4"/>
        <v>-0.02809746251</v>
      </c>
      <c r="I587" s="2" t="str">
        <f t="shared" si="5"/>
        <v>2015-08</v>
      </c>
      <c r="J587" s="2">
        <f t="shared" si="6"/>
        <v>2015</v>
      </c>
      <c r="K587" s="2">
        <f t="shared" si="7"/>
        <v>6</v>
      </c>
      <c r="L587" s="2" t="str">
        <f t="shared" si="8"/>
        <v>Fri</v>
      </c>
    </row>
    <row r="588" ht="15.0" customHeight="1">
      <c r="A588" s="4">
        <v>42224.0</v>
      </c>
      <c r="B588" s="2">
        <v>131867.99</v>
      </c>
      <c r="C588" s="2">
        <v>135721.43</v>
      </c>
      <c r="D588" s="2">
        <v>3388.0</v>
      </c>
      <c r="E588" s="5">
        <f t="shared" si="1"/>
        <v>38.92207497</v>
      </c>
      <c r="F588" s="7">
        <f t="shared" si="2"/>
        <v>-0.02922195144</v>
      </c>
      <c r="G588" s="5">
        <f t="shared" si="3"/>
        <v>-1.137378985</v>
      </c>
      <c r="H588" s="7">
        <f t="shared" si="4"/>
        <v>-0.02922195144</v>
      </c>
      <c r="I588" s="2" t="str">
        <f t="shared" si="5"/>
        <v>2015-08</v>
      </c>
      <c r="J588" s="2">
        <f t="shared" si="6"/>
        <v>2015</v>
      </c>
      <c r="K588" s="2">
        <f t="shared" si="7"/>
        <v>7</v>
      </c>
      <c r="L588" s="2" t="str">
        <f t="shared" si="8"/>
        <v>Sat</v>
      </c>
    </row>
    <row r="589" ht="15.0" customHeight="1">
      <c r="A589" s="4">
        <v>42225.0</v>
      </c>
      <c r="B589" s="2">
        <v>75504.0</v>
      </c>
      <c r="C589" s="2">
        <v>77978.69</v>
      </c>
      <c r="D589" s="2">
        <v>1944.0</v>
      </c>
      <c r="E589" s="5">
        <f t="shared" si="1"/>
        <v>38.83950617</v>
      </c>
      <c r="F589" s="7">
        <f t="shared" si="2"/>
        <v>-0.03277561454</v>
      </c>
      <c r="G589" s="5">
        <f t="shared" si="3"/>
        <v>-1.272988683</v>
      </c>
      <c r="H589" s="7">
        <f t="shared" si="4"/>
        <v>-0.03277561454</v>
      </c>
      <c r="I589" s="2" t="str">
        <f t="shared" si="5"/>
        <v>2015-08</v>
      </c>
      <c r="J589" s="2">
        <f t="shared" si="6"/>
        <v>2015</v>
      </c>
      <c r="K589" s="2">
        <f t="shared" si="7"/>
        <v>1</v>
      </c>
      <c r="L589" s="2" t="str">
        <f t="shared" si="8"/>
        <v>Sun</v>
      </c>
    </row>
    <row r="590" ht="15.0" customHeight="1">
      <c r="A590" s="4">
        <v>42226.0</v>
      </c>
      <c r="B590" s="2">
        <v>69968.08</v>
      </c>
      <c r="C590" s="2">
        <v>72665.73</v>
      </c>
      <c r="D590" s="2">
        <v>1812.0</v>
      </c>
      <c r="E590" s="5">
        <f t="shared" si="1"/>
        <v>38.61373068</v>
      </c>
      <c r="F590" s="7">
        <f t="shared" si="2"/>
        <v>-0.03855543842</v>
      </c>
      <c r="G590" s="5">
        <f t="shared" si="3"/>
        <v>-1.488769316</v>
      </c>
      <c r="H590" s="7">
        <f t="shared" si="4"/>
        <v>-0.03855543842</v>
      </c>
      <c r="I590" s="2" t="str">
        <f t="shared" si="5"/>
        <v>2015-08</v>
      </c>
      <c r="J590" s="2">
        <f t="shared" si="6"/>
        <v>2015</v>
      </c>
      <c r="K590" s="2">
        <f t="shared" si="7"/>
        <v>2</v>
      </c>
      <c r="L590" s="2" t="str">
        <f t="shared" si="8"/>
        <v>Mon</v>
      </c>
    </row>
    <row r="591" ht="15.0" customHeight="1">
      <c r="A591" s="4">
        <v>42227.0</v>
      </c>
      <c r="B591" s="2">
        <v>60187.15</v>
      </c>
      <c r="C591" s="2">
        <v>62538.49</v>
      </c>
      <c r="D591" s="2">
        <v>1563.0</v>
      </c>
      <c r="E591" s="5">
        <f t="shared" si="1"/>
        <v>38.50745361</v>
      </c>
      <c r="F591" s="7">
        <f t="shared" si="2"/>
        <v>-0.03906714307</v>
      </c>
      <c r="G591" s="5">
        <f t="shared" si="3"/>
        <v>-1.5043762</v>
      </c>
      <c r="H591" s="7">
        <f t="shared" si="4"/>
        <v>-0.03906714307</v>
      </c>
      <c r="I591" s="2" t="str">
        <f t="shared" si="5"/>
        <v>2015-08</v>
      </c>
      <c r="J591" s="2">
        <f t="shared" si="6"/>
        <v>2015</v>
      </c>
      <c r="K591" s="2">
        <f t="shared" si="7"/>
        <v>3</v>
      </c>
      <c r="L591" s="2" t="str">
        <f t="shared" si="8"/>
        <v>Tue</v>
      </c>
    </row>
    <row r="592" ht="15.0" customHeight="1">
      <c r="A592" s="4">
        <v>42228.0</v>
      </c>
      <c r="B592" s="2">
        <v>44698.7</v>
      </c>
      <c r="C592" s="2">
        <v>46849.57</v>
      </c>
      <c r="D592" s="2">
        <v>1171.0</v>
      </c>
      <c r="E592" s="5">
        <f t="shared" si="1"/>
        <v>38.17139197</v>
      </c>
      <c r="F592" s="7">
        <f t="shared" si="2"/>
        <v>-0.04811929653</v>
      </c>
      <c r="G592" s="5">
        <f t="shared" si="3"/>
        <v>-1.836780529</v>
      </c>
      <c r="H592" s="7">
        <f t="shared" si="4"/>
        <v>-0.04811929653</v>
      </c>
      <c r="I592" s="2" t="str">
        <f t="shared" si="5"/>
        <v>2015-08</v>
      </c>
      <c r="J592" s="2">
        <f t="shared" si="6"/>
        <v>2015</v>
      </c>
      <c r="K592" s="2">
        <f t="shared" si="7"/>
        <v>4</v>
      </c>
      <c r="L592" s="2" t="str">
        <f t="shared" si="8"/>
        <v>Wed</v>
      </c>
    </row>
    <row r="593" ht="15.0" customHeight="1">
      <c r="A593" s="4">
        <v>42229.0</v>
      </c>
      <c r="B593" s="2">
        <v>39463.41</v>
      </c>
      <c r="C593" s="2">
        <v>41414.42</v>
      </c>
      <c r="D593" s="2">
        <v>1035.0</v>
      </c>
      <c r="E593" s="5">
        <f t="shared" si="1"/>
        <v>38.12889855</v>
      </c>
      <c r="F593" s="7">
        <f t="shared" si="2"/>
        <v>-0.04943845451</v>
      </c>
      <c r="G593" s="5">
        <f t="shared" si="3"/>
        <v>-1.885033816</v>
      </c>
      <c r="H593" s="7">
        <f t="shared" si="4"/>
        <v>-0.04943845451</v>
      </c>
      <c r="I593" s="2" t="str">
        <f t="shared" si="5"/>
        <v>2015-08</v>
      </c>
      <c r="J593" s="2">
        <f t="shared" si="6"/>
        <v>2015</v>
      </c>
      <c r="K593" s="2">
        <f t="shared" si="7"/>
        <v>5</v>
      </c>
      <c r="L593" s="2" t="str">
        <f t="shared" si="8"/>
        <v>Thu</v>
      </c>
    </row>
    <row r="594" ht="15.0" customHeight="1">
      <c r="A594" s="4">
        <v>42230.0</v>
      </c>
      <c r="B594" s="2">
        <v>85794.1</v>
      </c>
      <c r="C594" s="2">
        <v>89898.89</v>
      </c>
      <c r="D594" s="2">
        <v>2247.0</v>
      </c>
      <c r="E594" s="5">
        <f t="shared" si="1"/>
        <v>38.18161994</v>
      </c>
      <c r="F594" s="7">
        <f t="shared" si="2"/>
        <v>-0.04784466531</v>
      </c>
      <c r="G594" s="5">
        <f t="shared" si="3"/>
        <v>-1.826786827</v>
      </c>
      <c r="H594" s="7">
        <f t="shared" si="4"/>
        <v>-0.04784466531</v>
      </c>
      <c r="I594" s="2" t="str">
        <f t="shared" si="5"/>
        <v>2015-08</v>
      </c>
      <c r="J594" s="2">
        <f t="shared" si="6"/>
        <v>2015</v>
      </c>
      <c r="K594" s="2">
        <f t="shared" si="7"/>
        <v>6</v>
      </c>
      <c r="L594" s="2" t="str">
        <f t="shared" si="8"/>
        <v>Fri</v>
      </c>
    </row>
    <row r="595" ht="15.0" customHeight="1">
      <c r="A595" s="4">
        <v>42231.0</v>
      </c>
      <c r="B595" s="2">
        <v>117288.01</v>
      </c>
      <c r="C595" s="2">
        <v>122504.36</v>
      </c>
      <c r="D595" s="2">
        <v>3068.0</v>
      </c>
      <c r="E595" s="5">
        <f t="shared" si="1"/>
        <v>38.22946871</v>
      </c>
      <c r="F595" s="7">
        <f t="shared" si="2"/>
        <v>-0.04447470803</v>
      </c>
      <c r="G595" s="5">
        <f t="shared" si="3"/>
        <v>-1.700244459</v>
      </c>
      <c r="H595" s="7">
        <f t="shared" si="4"/>
        <v>-0.04447470803</v>
      </c>
      <c r="I595" s="2" t="str">
        <f t="shared" si="5"/>
        <v>2015-08</v>
      </c>
      <c r="J595" s="2">
        <f t="shared" si="6"/>
        <v>2015</v>
      </c>
      <c r="K595" s="2">
        <f t="shared" si="7"/>
        <v>7</v>
      </c>
      <c r="L595" s="2" t="str">
        <f t="shared" si="8"/>
        <v>Sat</v>
      </c>
    </row>
    <row r="596" ht="15.0" customHeight="1">
      <c r="A596" s="4">
        <v>42232.0</v>
      </c>
      <c r="B596" s="2">
        <v>71056.06</v>
      </c>
      <c r="C596" s="2">
        <v>74589.17</v>
      </c>
      <c r="D596" s="2">
        <v>1866.0</v>
      </c>
      <c r="E596" s="5">
        <f t="shared" si="1"/>
        <v>38.0793462</v>
      </c>
      <c r="F596" s="7">
        <f t="shared" si="2"/>
        <v>-0.04972285263</v>
      </c>
      <c r="G596" s="5">
        <f t="shared" si="3"/>
        <v>-1.893413719</v>
      </c>
      <c r="H596" s="7">
        <f t="shared" si="4"/>
        <v>-0.04972285263</v>
      </c>
      <c r="I596" s="2" t="str">
        <f t="shared" si="5"/>
        <v>2015-08</v>
      </c>
      <c r="J596" s="2">
        <f t="shared" si="6"/>
        <v>2015</v>
      </c>
      <c r="K596" s="2">
        <f t="shared" si="7"/>
        <v>1</v>
      </c>
      <c r="L596" s="2" t="str">
        <f t="shared" si="8"/>
        <v>Sun</v>
      </c>
    </row>
    <row r="597" ht="15.0" customHeight="1">
      <c r="A597" s="4">
        <v>42233.0</v>
      </c>
      <c r="B597" s="2">
        <v>64394.07</v>
      </c>
      <c r="C597" s="2">
        <v>67505.25</v>
      </c>
      <c r="D597" s="2">
        <v>1690.0</v>
      </c>
      <c r="E597" s="5">
        <f t="shared" si="1"/>
        <v>38.103</v>
      </c>
      <c r="F597" s="7">
        <f t="shared" si="2"/>
        <v>-0.0483146973</v>
      </c>
      <c r="G597" s="5">
        <f t="shared" si="3"/>
        <v>-1.840934911</v>
      </c>
      <c r="H597" s="7">
        <f t="shared" si="4"/>
        <v>-0.0483146973</v>
      </c>
      <c r="I597" s="2" t="str">
        <f t="shared" si="5"/>
        <v>2015-08</v>
      </c>
      <c r="J597" s="2">
        <f t="shared" si="6"/>
        <v>2015</v>
      </c>
      <c r="K597" s="2">
        <f t="shared" si="7"/>
        <v>2</v>
      </c>
      <c r="L597" s="2" t="str">
        <f t="shared" si="8"/>
        <v>Mon</v>
      </c>
    </row>
    <row r="598" ht="15.0" customHeight="1">
      <c r="A598" s="4">
        <v>42234.0</v>
      </c>
      <c r="B598" s="2">
        <v>35165.97</v>
      </c>
      <c r="C598" s="2">
        <v>36841.97</v>
      </c>
      <c r="D598" s="2">
        <v>922.0</v>
      </c>
      <c r="E598" s="5">
        <f t="shared" si="1"/>
        <v>38.14096529</v>
      </c>
      <c r="F598" s="7">
        <f t="shared" si="2"/>
        <v>-0.04765971193</v>
      </c>
      <c r="G598" s="5">
        <f t="shared" si="3"/>
        <v>-1.817787419</v>
      </c>
      <c r="H598" s="7">
        <f t="shared" si="4"/>
        <v>-0.04765971193</v>
      </c>
      <c r="I598" s="2" t="str">
        <f t="shared" si="5"/>
        <v>2015-08</v>
      </c>
      <c r="J598" s="2">
        <f t="shared" si="6"/>
        <v>2015</v>
      </c>
      <c r="K598" s="2">
        <f t="shared" si="7"/>
        <v>3</v>
      </c>
      <c r="L598" s="2" t="str">
        <f t="shared" si="8"/>
        <v>Tue</v>
      </c>
    </row>
    <row r="599" ht="15.0" customHeight="1">
      <c r="A599" s="4">
        <v>42235.0</v>
      </c>
      <c r="B599" s="2">
        <v>23234.18</v>
      </c>
      <c r="C599" s="2">
        <v>24104.09</v>
      </c>
      <c r="D599" s="2">
        <v>604.0</v>
      </c>
      <c r="E599" s="5">
        <f t="shared" si="1"/>
        <v>38.46718543</v>
      </c>
      <c r="F599" s="7">
        <f t="shared" si="2"/>
        <v>-0.03744095983</v>
      </c>
      <c r="G599" s="5">
        <f t="shared" si="3"/>
        <v>-1.440248344</v>
      </c>
      <c r="H599" s="7">
        <f t="shared" si="4"/>
        <v>-0.03744095983</v>
      </c>
      <c r="I599" s="2" t="str">
        <f t="shared" si="5"/>
        <v>2015-08</v>
      </c>
      <c r="J599" s="2">
        <f t="shared" si="6"/>
        <v>2015</v>
      </c>
      <c r="K599" s="2">
        <f t="shared" si="7"/>
        <v>4</v>
      </c>
      <c r="L599" s="2" t="str">
        <f t="shared" si="8"/>
        <v>Wed</v>
      </c>
    </row>
    <row r="600" ht="15.0" customHeight="1">
      <c r="A600" s="4">
        <v>42236.0</v>
      </c>
      <c r="B600" s="2">
        <v>24754.96</v>
      </c>
      <c r="C600" s="2">
        <v>25407.17</v>
      </c>
      <c r="D600" s="2">
        <v>643.0</v>
      </c>
      <c r="E600" s="5">
        <f t="shared" si="1"/>
        <v>38.49916019</v>
      </c>
      <c r="F600" s="7">
        <f t="shared" si="2"/>
        <v>-0.02634663922</v>
      </c>
      <c r="G600" s="5">
        <f t="shared" si="3"/>
        <v>-1.014323484</v>
      </c>
      <c r="H600" s="7">
        <f t="shared" si="4"/>
        <v>-0.02634663922</v>
      </c>
      <c r="I600" s="2" t="str">
        <f t="shared" si="5"/>
        <v>2015-08</v>
      </c>
      <c r="J600" s="2">
        <f t="shared" si="6"/>
        <v>2015</v>
      </c>
      <c r="K600" s="2">
        <f t="shared" si="7"/>
        <v>5</v>
      </c>
      <c r="L600" s="2" t="str">
        <f t="shared" si="8"/>
        <v>Thu</v>
      </c>
    </row>
    <row r="601" ht="15.0" customHeight="1">
      <c r="A601" s="4">
        <v>42237.0</v>
      </c>
      <c r="B601" s="2">
        <v>76691.28</v>
      </c>
      <c r="C601" s="2">
        <v>78691.96</v>
      </c>
      <c r="D601" s="2">
        <v>2006.0</v>
      </c>
      <c r="E601" s="5">
        <f t="shared" si="1"/>
        <v>38.23094716</v>
      </c>
      <c r="F601" s="7">
        <f t="shared" si="2"/>
        <v>-0.02608745088</v>
      </c>
      <c r="G601" s="5">
        <f t="shared" si="3"/>
        <v>-0.9973479561</v>
      </c>
      <c r="H601" s="7">
        <f t="shared" si="4"/>
        <v>-0.02608745088</v>
      </c>
      <c r="I601" s="2" t="str">
        <f t="shared" si="5"/>
        <v>2015-08</v>
      </c>
      <c r="J601" s="2">
        <f t="shared" si="6"/>
        <v>2015</v>
      </c>
      <c r="K601" s="2">
        <f t="shared" si="7"/>
        <v>6</v>
      </c>
      <c r="L601" s="2" t="str">
        <f t="shared" si="8"/>
        <v>Fri</v>
      </c>
    </row>
    <row r="602" ht="15.0" customHeight="1">
      <c r="A602" s="4">
        <v>42238.0</v>
      </c>
      <c r="B602" s="2">
        <v>102231.21</v>
      </c>
      <c r="C602" s="2">
        <v>104713.01</v>
      </c>
      <c r="D602" s="2">
        <v>2677.0</v>
      </c>
      <c r="E602" s="5">
        <f t="shared" si="1"/>
        <v>38.18872245</v>
      </c>
      <c r="F602" s="7">
        <f t="shared" si="2"/>
        <v>-0.02427634379</v>
      </c>
      <c r="G602" s="5">
        <f t="shared" si="3"/>
        <v>-0.9270825551</v>
      </c>
      <c r="H602" s="7">
        <f t="shared" si="4"/>
        <v>-0.02427634379</v>
      </c>
      <c r="I602" s="2" t="str">
        <f t="shared" si="5"/>
        <v>2015-08</v>
      </c>
      <c r="J602" s="2">
        <f t="shared" si="6"/>
        <v>2015</v>
      </c>
      <c r="K602" s="2">
        <f t="shared" si="7"/>
        <v>7</v>
      </c>
      <c r="L602" s="2" t="str">
        <f t="shared" si="8"/>
        <v>Sat</v>
      </c>
    </row>
    <row r="603" ht="15.0" customHeight="1">
      <c r="A603" s="4">
        <v>42239.0</v>
      </c>
      <c r="B603" s="2">
        <v>56974.87</v>
      </c>
      <c r="C603" s="2">
        <v>57548.99</v>
      </c>
      <c r="D603" s="2">
        <v>1467.0</v>
      </c>
      <c r="E603" s="5">
        <f t="shared" si="1"/>
        <v>38.83767553</v>
      </c>
      <c r="F603" s="7">
        <f t="shared" si="2"/>
        <v>-0.0100767233</v>
      </c>
      <c r="G603" s="5">
        <f t="shared" si="3"/>
        <v>-0.3913565099</v>
      </c>
      <c r="H603" s="7">
        <f t="shared" si="4"/>
        <v>-0.0100767233</v>
      </c>
      <c r="I603" s="2" t="str">
        <f t="shared" si="5"/>
        <v>2015-08</v>
      </c>
      <c r="J603" s="2">
        <f t="shared" si="6"/>
        <v>2015</v>
      </c>
      <c r="K603" s="2">
        <f t="shared" si="7"/>
        <v>1</v>
      </c>
      <c r="L603" s="2" t="str">
        <f t="shared" si="8"/>
        <v>Sun</v>
      </c>
    </row>
    <row r="604" ht="15.0" customHeight="1">
      <c r="A604" s="4">
        <v>42240.0</v>
      </c>
      <c r="B604" s="2">
        <v>59442.73</v>
      </c>
      <c r="C604" s="2">
        <v>59785.43</v>
      </c>
      <c r="D604" s="2">
        <v>1528.0</v>
      </c>
      <c r="E604" s="5">
        <f t="shared" si="1"/>
        <v>38.90231021</v>
      </c>
      <c r="F604" s="7">
        <f t="shared" si="2"/>
        <v>-0.005765213004</v>
      </c>
      <c r="G604" s="5">
        <f t="shared" si="3"/>
        <v>-0.2242801047</v>
      </c>
      <c r="H604" s="7">
        <f t="shared" si="4"/>
        <v>-0.005765213004</v>
      </c>
      <c r="I604" s="2" t="str">
        <f t="shared" si="5"/>
        <v>2015-08</v>
      </c>
      <c r="J604" s="2">
        <f t="shared" si="6"/>
        <v>2015</v>
      </c>
      <c r="K604" s="2">
        <f t="shared" si="7"/>
        <v>2</v>
      </c>
      <c r="L604" s="2" t="str">
        <f t="shared" si="8"/>
        <v>Mon</v>
      </c>
    </row>
    <row r="605" ht="15.0" customHeight="1">
      <c r="A605" s="4">
        <v>42241.0</v>
      </c>
      <c r="B605" s="2">
        <v>217683.36</v>
      </c>
      <c r="C605" s="2">
        <v>246975.73</v>
      </c>
      <c r="D605" s="2">
        <v>6360.0</v>
      </c>
      <c r="E605" s="5">
        <f t="shared" si="1"/>
        <v>34.2269434</v>
      </c>
      <c r="F605" s="7">
        <f t="shared" si="2"/>
        <v>-0.134564121</v>
      </c>
      <c r="G605" s="5">
        <f t="shared" si="3"/>
        <v>-4.605718553</v>
      </c>
      <c r="H605" s="7">
        <f t="shared" si="4"/>
        <v>-0.134564121</v>
      </c>
      <c r="I605" s="2" t="str">
        <f t="shared" si="5"/>
        <v>2015-08</v>
      </c>
      <c r="J605" s="2">
        <f t="shared" si="6"/>
        <v>2015</v>
      </c>
      <c r="K605" s="2">
        <f t="shared" si="7"/>
        <v>3</v>
      </c>
      <c r="L605" s="2" t="str">
        <f t="shared" si="8"/>
        <v>Tue</v>
      </c>
    </row>
    <row r="606" ht="15.0" customHeight="1">
      <c r="A606" s="4">
        <v>42242.0</v>
      </c>
      <c r="B606" s="2">
        <v>275458.81</v>
      </c>
      <c r="C606" s="2">
        <v>307092.27</v>
      </c>
      <c r="D606" s="2">
        <v>8035.0</v>
      </c>
      <c r="E606" s="5">
        <f t="shared" si="1"/>
        <v>34.2823659</v>
      </c>
      <c r="F606" s="7">
        <f t="shared" si="2"/>
        <v>-0.114839166</v>
      </c>
      <c r="G606" s="5">
        <f t="shared" si="3"/>
        <v>-3.936958307</v>
      </c>
      <c r="H606" s="7">
        <f t="shared" si="4"/>
        <v>-0.114839166</v>
      </c>
      <c r="I606" s="2" t="str">
        <f t="shared" si="5"/>
        <v>2015-08</v>
      </c>
      <c r="J606" s="2">
        <f t="shared" si="6"/>
        <v>2015</v>
      </c>
      <c r="K606" s="2">
        <f t="shared" si="7"/>
        <v>4</v>
      </c>
      <c r="L606" s="2" t="str">
        <f t="shared" si="8"/>
        <v>Wed</v>
      </c>
    </row>
    <row r="607" ht="15.0" customHeight="1">
      <c r="A607" s="4">
        <v>42243.0</v>
      </c>
      <c r="B607" s="2">
        <v>228731.87</v>
      </c>
      <c r="C607" s="2">
        <v>252845.45</v>
      </c>
      <c r="D607" s="2">
        <v>6675.0</v>
      </c>
      <c r="E607" s="5">
        <f t="shared" si="1"/>
        <v>34.26694682</v>
      </c>
      <c r="F607" s="7">
        <f t="shared" si="2"/>
        <v>-0.1054229129</v>
      </c>
      <c r="G607" s="5">
        <f t="shared" si="3"/>
        <v>-3.612521348</v>
      </c>
      <c r="H607" s="7">
        <f t="shared" si="4"/>
        <v>-0.1054229129</v>
      </c>
      <c r="I607" s="2" t="str">
        <f t="shared" si="5"/>
        <v>2015-08</v>
      </c>
      <c r="J607" s="2">
        <f t="shared" si="6"/>
        <v>2015</v>
      </c>
      <c r="K607" s="2">
        <f t="shared" si="7"/>
        <v>5</v>
      </c>
      <c r="L607" s="2" t="str">
        <f t="shared" si="8"/>
        <v>Thu</v>
      </c>
    </row>
    <row r="608" ht="15.0" customHeight="1">
      <c r="A608" s="4">
        <v>42244.0</v>
      </c>
      <c r="B608" s="2">
        <v>387639.12</v>
      </c>
      <c r="C608" s="2">
        <v>426783.3</v>
      </c>
      <c r="D608" s="2">
        <v>11330.0</v>
      </c>
      <c r="E608" s="5">
        <f t="shared" si="1"/>
        <v>34.21351456</v>
      </c>
      <c r="F608" s="7">
        <f t="shared" si="2"/>
        <v>-0.1009809846</v>
      </c>
      <c r="G608" s="5">
        <f t="shared" si="3"/>
        <v>-3.454914387</v>
      </c>
      <c r="H608" s="7">
        <f t="shared" si="4"/>
        <v>-0.1009809846</v>
      </c>
      <c r="I608" s="2" t="str">
        <f t="shared" si="5"/>
        <v>2015-08</v>
      </c>
      <c r="J608" s="2">
        <f t="shared" si="6"/>
        <v>2015</v>
      </c>
      <c r="K608" s="2">
        <f t="shared" si="7"/>
        <v>6</v>
      </c>
      <c r="L608" s="2" t="str">
        <f t="shared" si="8"/>
        <v>Fri</v>
      </c>
    </row>
    <row r="609" ht="15.0" customHeight="1">
      <c r="A609" s="4">
        <v>42245.0</v>
      </c>
      <c r="B609" s="2">
        <v>461188.0</v>
      </c>
      <c r="C609" s="2">
        <v>504578.19</v>
      </c>
      <c r="D609" s="2">
        <v>13484.0</v>
      </c>
      <c r="E609" s="5">
        <f t="shared" si="1"/>
        <v>34.2026105</v>
      </c>
      <c r="F609" s="7">
        <f t="shared" si="2"/>
        <v>-0.09408351909</v>
      </c>
      <c r="G609" s="5">
        <f t="shared" si="3"/>
        <v>-3.217901958</v>
      </c>
      <c r="H609" s="7">
        <f t="shared" si="4"/>
        <v>-0.09408351909</v>
      </c>
      <c r="I609" s="2" t="str">
        <f t="shared" si="5"/>
        <v>2015-08</v>
      </c>
      <c r="J609" s="2">
        <f t="shared" si="6"/>
        <v>2015</v>
      </c>
      <c r="K609" s="2">
        <f t="shared" si="7"/>
        <v>7</v>
      </c>
      <c r="L609" s="2" t="str">
        <f t="shared" si="8"/>
        <v>Sat</v>
      </c>
    </row>
    <row r="610" ht="15.0" customHeight="1">
      <c r="A610" s="4">
        <v>42246.0</v>
      </c>
      <c r="B610" s="2">
        <v>202249.68</v>
      </c>
      <c r="C610" s="2">
        <v>220152.19</v>
      </c>
      <c r="D610" s="2">
        <v>5913.0</v>
      </c>
      <c r="E610" s="5">
        <f t="shared" si="1"/>
        <v>34.2042415</v>
      </c>
      <c r="F610" s="7">
        <f t="shared" si="2"/>
        <v>-0.08851687676</v>
      </c>
      <c r="G610" s="5">
        <f t="shared" si="3"/>
        <v>-3.02765263</v>
      </c>
      <c r="H610" s="7">
        <f t="shared" si="4"/>
        <v>-0.08851687676</v>
      </c>
      <c r="I610" s="2" t="str">
        <f t="shared" si="5"/>
        <v>2015-08</v>
      </c>
      <c r="J610" s="2">
        <f t="shared" si="6"/>
        <v>2015</v>
      </c>
      <c r="K610" s="2">
        <f t="shared" si="7"/>
        <v>1</v>
      </c>
      <c r="L610" s="2" t="str">
        <f t="shared" si="8"/>
        <v>Sun</v>
      </c>
    </row>
    <row r="611" ht="15.0" customHeight="1">
      <c r="A611" s="4">
        <v>42247.0</v>
      </c>
      <c r="B611" s="2">
        <v>332559.76</v>
      </c>
      <c r="C611" s="2">
        <v>361970.29</v>
      </c>
      <c r="D611" s="2">
        <v>9721.0</v>
      </c>
      <c r="E611" s="5">
        <f t="shared" si="1"/>
        <v>34.21044748</v>
      </c>
      <c r="F611" s="7">
        <f t="shared" si="2"/>
        <v>-0.08843682711</v>
      </c>
      <c r="G611" s="5">
        <f t="shared" si="3"/>
        <v>-3.02546343</v>
      </c>
      <c r="H611" s="7">
        <f t="shared" si="4"/>
        <v>-0.08843682711</v>
      </c>
      <c r="I611" s="2" t="str">
        <f t="shared" si="5"/>
        <v>2015-08</v>
      </c>
      <c r="J611" s="2">
        <f t="shared" si="6"/>
        <v>2015</v>
      </c>
      <c r="K611" s="2">
        <f t="shared" si="7"/>
        <v>2</v>
      </c>
      <c r="L611" s="2" t="str">
        <f t="shared" si="8"/>
        <v>Mon</v>
      </c>
    </row>
    <row r="612" ht="15.0" customHeight="1">
      <c r="A612" s="4">
        <v>42248.0</v>
      </c>
      <c r="B612" s="2">
        <v>384806.77</v>
      </c>
      <c r="C612" s="2">
        <v>418101.6</v>
      </c>
      <c r="D612" s="2">
        <v>11257.0</v>
      </c>
      <c r="E612" s="5">
        <f t="shared" si="1"/>
        <v>34.18377632</v>
      </c>
      <c r="F612" s="7">
        <f t="shared" si="2"/>
        <v>-0.08652350373</v>
      </c>
      <c r="G612" s="5">
        <f t="shared" si="3"/>
        <v>-2.957700098</v>
      </c>
      <c r="H612" s="7">
        <f t="shared" si="4"/>
        <v>-0.08652350373</v>
      </c>
      <c r="I612" s="2" t="str">
        <f t="shared" si="5"/>
        <v>2015-09</v>
      </c>
      <c r="J612" s="2">
        <f t="shared" si="6"/>
        <v>2015</v>
      </c>
      <c r="K612" s="2">
        <f t="shared" si="7"/>
        <v>3</v>
      </c>
      <c r="L612" s="2" t="str">
        <f t="shared" si="8"/>
        <v>Tue</v>
      </c>
    </row>
    <row r="613" ht="15.0" customHeight="1">
      <c r="A613" s="4">
        <v>42249.0</v>
      </c>
      <c r="B613" s="2">
        <v>345776.25</v>
      </c>
      <c r="C613" s="2">
        <v>373816.17</v>
      </c>
      <c r="D613" s="2">
        <v>10102.0</v>
      </c>
      <c r="E613" s="5">
        <f t="shared" si="1"/>
        <v>34.22849436</v>
      </c>
      <c r="F613" s="7">
        <f t="shared" si="2"/>
        <v>-0.08109267192</v>
      </c>
      <c r="G613" s="5">
        <f t="shared" si="3"/>
        <v>-2.775680063</v>
      </c>
      <c r="H613" s="7">
        <f t="shared" si="4"/>
        <v>-0.08109267192</v>
      </c>
      <c r="I613" s="2" t="str">
        <f t="shared" si="5"/>
        <v>2015-09</v>
      </c>
      <c r="J613" s="2">
        <f t="shared" si="6"/>
        <v>2015</v>
      </c>
      <c r="K613" s="2">
        <f t="shared" si="7"/>
        <v>4</v>
      </c>
      <c r="L613" s="2" t="str">
        <f t="shared" si="8"/>
        <v>Wed</v>
      </c>
    </row>
    <row r="614" ht="15.0" customHeight="1">
      <c r="A614" s="4">
        <v>42250.0</v>
      </c>
      <c r="B614" s="2">
        <v>271551.1</v>
      </c>
      <c r="C614" s="2">
        <v>293343.87</v>
      </c>
      <c r="D614" s="2">
        <v>7938.0</v>
      </c>
      <c r="E614" s="5">
        <f t="shared" si="1"/>
        <v>34.20900731</v>
      </c>
      <c r="F614" s="7">
        <f t="shared" si="2"/>
        <v>-0.08025292477</v>
      </c>
      <c r="G614" s="5">
        <f t="shared" si="3"/>
        <v>-2.74537289</v>
      </c>
      <c r="H614" s="7">
        <f t="shared" si="4"/>
        <v>-0.08025292477</v>
      </c>
      <c r="I614" s="2" t="str">
        <f t="shared" si="5"/>
        <v>2015-09</v>
      </c>
      <c r="J614" s="2">
        <f t="shared" si="6"/>
        <v>2015</v>
      </c>
      <c r="K614" s="2">
        <f t="shared" si="7"/>
        <v>5</v>
      </c>
      <c r="L614" s="2" t="str">
        <f t="shared" si="8"/>
        <v>Thu</v>
      </c>
    </row>
    <row r="615" ht="15.0" customHeight="1">
      <c r="A615" s="4">
        <v>42251.0</v>
      </c>
      <c r="B615" s="2">
        <v>340440.21</v>
      </c>
      <c r="C615" s="2">
        <v>366359.66</v>
      </c>
      <c r="D615" s="2">
        <v>9936.0</v>
      </c>
      <c r="E615" s="5">
        <f t="shared" si="1"/>
        <v>34.26330616</v>
      </c>
      <c r="F615" s="7">
        <f t="shared" si="2"/>
        <v>-0.07613510167</v>
      </c>
      <c r="G615" s="5">
        <f t="shared" si="3"/>
        <v>-2.608640298</v>
      </c>
      <c r="H615" s="7">
        <f t="shared" si="4"/>
        <v>-0.07613510167</v>
      </c>
      <c r="I615" s="2" t="str">
        <f t="shared" si="5"/>
        <v>2015-09</v>
      </c>
      <c r="J615" s="2">
        <f t="shared" si="6"/>
        <v>2015</v>
      </c>
      <c r="K615" s="2">
        <f t="shared" si="7"/>
        <v>6</v>
      </c>
      <c r="L615" s="2" t="str">
        <f t="shared" si="8"/>
        <v>Fri</v>
      </c>
    </row>
    <row r="616" ht="15.0" customHeight="1">
      <c r="A616" s="4">
        <v>42252.0</v>
      </c>
      <c r="B616" s="2">
        <v>364416.73</v>
      </c>
      <c r="C616" s="2">
        <v>392128.3</v>
      </c>
      <c r="D616" s="2">
        <v>10643.0</v>
      </c>
      <c r="E616" s="5">
        <f t="shared" si="1"/>
        <v>34.24003852</v>
      </c>
      <c r="F616" s="7">
        <f t="shared" si="2"/>
        <v>-0.07604362731</v>
      </c>
      <c r="G616" s="5">
        <f t="shared" si="3"/>
        <v>-2.603736728</v>
      </c>
      <c r="H616" s="7">
        <f t="shared" si="4"/>
        <v>-0.07604362731</v>
      </c>
      <c r="I616" s="2" t="str">
        <f t="shared" si="5"/>
        <v>2015-09</v>
      </c>
      <c r="J616" s="2">
        <f t="shared" si="6"/>
        <v>2015</v>
      </c>
      <c r="K616" s="2">
        <f t="shared" si="7"/>
        <v>7</v>
      </c>
      <c r="L616" s="2" t="str">
        <f t="shared" si="8"/>
        <v>Sat</v>
      </c>
    </row>
    <row r="617" ht="15.0" customHeight="1">
      <c r="A617" s="4">
        <v>42253.0</v>
      </c>
      <c r="B617" s="2">
        <v>164719.6</v>
      </c>
      <c r="C617" s="2">
        <v>176647.84</v>
      </c>
      <c r="D617" s="2">
        <v>4800.0</v>
      </c>
      <c r="E617" s="5">
        <f t="shared" si="1"/>
        <v>34.31658333</v>
      </c>
      <c r="F617" s="7">
        <f t="shared" si="2"/>
        <v>-0.07241542597</v>
      </c>
      <c r="G617" s="5">
        <f t="shared" si="3"/>
        <v>-2.48505</v>
      </c>
      <c r="H617" s="7">
        <f t="shared" si="4"/>
        <v>-0.07241542597</v>
      </c>
      <c r="I617" s="2" t="str">
        <f t="shared" si="5"/>
        <v>2015-09</v>
      </c>
      <c r="J617" s="2">
        <f t="shared" si="6"/>
        <v>2015</v>
      </c>
      <c r="K617" s="2">
        <f t="shared" si="7"/>
        <v>1</v>
      </c>
      <c r="L617" s="2" t="str">
        <f t="shared" si="8"/>
        <v>Sun</v>
      </c>
    </row>
    <row r="618" ht="15.0" customHeight="1">
      <c r="A618" s="4">
        <v>42254.0</v>
      </c>
      <c r="B618" s="2">
        <v>178921.1</v>
      </c>
      <c r="C618" s="2">
        <v>192507.53</v>
      </c>
      <c r="D618" s="2">
        <v>5228.0</v>
      </c>
      <c r="E618" s="5">
        <f t="shared" si="1"/>
        <v>34.2236228</v>
      </c>
      <c r="F618" s="7">
        <f t="shared" si="2"/>
        <v>-0.0759353145</v>
      </c>
      <c r="G618" s="5">
        <f t="shared" si="3"/>
        <v>-2.598781561</v>
      </c>
      <c r="H618" s="7">
        <f t="shared" si="4"/>
        <v>-0.0759353145</v>
      </c>
      <c r="I618" s="2" t="str">
        <f t="shared" si="5"/>
        <v>2015-09</v>
      </c>
      <c r="J618" s="2">
        <f t="shared" si="6"/>
        <v>2015</v>
      </c>
      <c r="K618" s="2">
        <f t="shared" si="7"/>
        <v>2</v>
      </c>
      <c r="L618" s="2" t="str">
        <f t="shared" si="8"/>
        <v>Mon</v>
      </c>
    </row>
    <row r="619" ht="15.0" customHeight="1">
      <c r="A619" s="4">
        <v>42255.0</v>
      </c>
      <c r="B619" s="2">
        <v>70287.0</v>
      </c>
      <c r="C619" s="2">
        <v>66639.7</v>
      </c>
      <c r="D619" s="2">
        <v>1810.0</v>
      </c>
      <c r="E619" s="5">
        <f t="shared" si="1"/>
        <v>38.83259669</v>
      </c>
      <c r="F619" s="7">
        <f t="shared" si="2"/>
        <v>0.05189153044</v>
      </c>
      <c r="G619" s="5">
        <f t="shared" si="3"/>
        <v>2.015082873</v>
      </c>
      <c r="H619" s="7">
        <f t="shared" si="4"/>
        <v>0.05189153044</v>
      </c>
      <c r="I619" s="2" t="str">
        <f t="shared" si="5"/>
        <v>2015-09</v>
      </c>
      <c r="J619" s="2">
        <f t="shared" si="6"/>
        <v>2015</v>
      </c>
      <c r="K619" s="2">
        <f t="shared" si="7"/>
        <v>3</v>
      </c>
      <c r="L619" s="2" t="str">
        <f t="shared" si="8"/>
        <v>Tue</v>
      </c>
    </row>
    <row r="620" ht="15.0" customHeight="1">
      <c r="A620" s="4">
        <v>42256.0</v>
      </c>
      <c r="B620" s="2">
        <v>76013.68</v>
      </c>
      <c r="C620" s="2">
        <v>72211.1</v>
      </c>
      <c r="D620" s="2">
        <v>1961.0</v>
      </c>
      <c r="E620" s="5">
        <f t="shared" si="1"/>
        <v>38.7627129</v>
      </c>
      <c r="F620" s="7">
        <f t="shared" si="2"/>
        <v>0.05002494288</v>
      </c>
      <c r="G620" s="5">
        <f t="shared" si="3"/>
        <v>1.939102499</v>
      </c>
      <c r="H620" s="7">
        <f t="shared" si="4"/>
        <v>0.05002494288</v>
      </c>
      <c r="I620" s="2" t="str">
        <f t="shared" si="5"/>
        <v>2015-09</v>
      </c>
      <c r="J620" s="2">
        <f t="shared" si="6"/>
        <v>2015</v>
      </c>
      <c r="K620" s="2">
        <f t="shared" si="7"/>
        <v>4</v>
      </c>
      <c r="L620" s="2" t="str">
        <f t="shared" si="8"/>
        <v>Wed</v>
      </c>
    </row>
    <row r="621" ht="15.0" customHeight="1">
      <c r="A621" s="4">
        <v>42257.0</v>
      </c>
      <c r="B621" s="2">
        <v>48406.79</v>
      </c>
      <c r="C621" s="2">
        <v>45316.54</v>
      </c>
      <c r="D621" s="2">
        <v>1232.0</v>
      </c>
      <c r="E621" s="5">
        <f t="shared" si="1"/>
        <v>39.29122565</v>
      </c>
      <c r="F621" s="7">
        <f t="shared" si="2"/>
        <v>0.06383918454</v>
      </c>
      <c r="G621" s="5">
        <f t="shared" si="3"/>
        <v>2.508319805</v>
      </c>
      <c r="H621" s="7">
        <f t="shared" si="4"/>
        <v>0.06383918454</v>
      </c>
      <c r="I621" s="2" t="str">
        <f t="shared" si="5"/>
        <v>2015-09</v>
      </c>
      <c r="J621" s="2">
        <f t="shared" si="6"/>
        <v>2015</v>
      </c>
      <c r="K621" s="2">
        <f t="shared" si="7"/>
        <v>5</v>
      </c>
      <c r="L621" s="2" t="str">
        <f t="shared" si="8"/>
        <v>Thu</v>
      </c>
    </row>
    <row r="622" ht="15.0" customHeight="1">
      <c r="A622" s="4">
        <v>42258.0</v>
      </c>
      <c r="B622" s="2">
        <v>85940.03</v>
      </c>
      <c r="C622" s="2">
        <v>81559.85</v>
      </c>
      <c r="D622" s="2">
        <v>2194.0</v>
      </c>
      <c r="E622" s="5">
        <f t="shared" si="1"/>
        <v>39.17047858</v>
      </c>
      <c r="F622" s="7">
        <f t="shared" si="2"/>
        <v>0.05096786678</v>
      </c>
      <c r="G622" s="5">
        <f t="shared" si="3"/>
        <v>1.996435734</v>
      </c>
      <c r="H622" s="7">
        <f t="shared" si="4"/>
        <v>0.05096786678</v>
      </c>
      <c r="I622" s="2" t="str">
        <f t="shared" si="5"/>
        <v>2015-09</v>
      </c>
      <c r="J622" s="2">
        <f t="shared" si="6"/>
        <v>2015</v>
      </c>
      <c r="K622" s="2">
        <f t="shared" si="7"/>
        <v>6</v>
      </c>
      <c r="L622" s="2" t="str">
        <f t="shared" si="8"/>
        <v>Fri</v>
      </c>
    </row>
    <row r="623" ht="15.0" customHeight="1">
      <c r="A623" s="4">
        <v>42259.0</v>
      </c>
      <c r="B623" s="2">
        <v>57381.75</v>
      </c>
      <c r="C623" s="2">
        <v>54340.89</v>
      </c>
      <c r="D623" s="2">
        <v>1469.0</v>
      </c>
      <c r="E623" s="5">
        <f t="shared" si="1"/>
        <v>39.06177672</v>
      </c>
      <c r="F623" s="7">
        <f t="shared" si="2"/>
        <v>0.05299350403</v>
      </c>
      <c r="G623" s="5">
        <f t="shared" si="3"/>
        <v>2.070020422</v>
      </c>
      <c r="H623" s="7">
        <f t="shared" si="4"/>
        <v>0.05299350403</v>
      </c>
      <c r="I623" s="2" t="str">
        <f t="shared" si="5"/>
        <v>2015-09</v>
      </c>
      <c r="J623" s="2">
        <f t="shared" si="6"/>
        <v>2015</v>
      </c>
      <c r="K623" s="2">
        <f t="shared" si="7"/>
        <v>7</v>
      </c>
      <c r="L623" s="2" t="str">
        <f t="shared" si="8"/>
        <v>Sat</v>
      </c>
    </row>
    <row r="624" ht="15.0" customHeight="1">
      <c r="A624" s="4">
        <v>42260.0</v>
      </c>
      <c r="B624" s="2">
        <v>32479.8</v>
      </c>
      <c r="C624" s="2">
        <v>30763.69</v>
      </c>
      <c r="D624" s="2">
        <v>829.0</v>
      </c>
      <c r="E624" s="5">
        <f t="shared" si="1"/>
        <v>39.17949337</v>
      </c>
      <c r="F624" s="7">
        <f t="shared" si="2"/>
        <v>0.05283622436</v>
      </c>
      <c r="G624" s="5">
        <f t="shared" si="3"/>
        <v>2.070096502</v>
      </c>
      <c r="H624" s="7">
        <f t="shared" si="4"/>
        <v>0.05283622436</v>
      </c>
      <c r="I624" s="2" t="str">
        <f t="shared" si="5"/>
        <v>2015-09</v>
      </c>
      <c r="J624" s="2">
        <f t="shared" si="6"/>
        <v>2015</v>
      </c>
      <c r="K624" s="2">
        <f t="shared" si="7"/>
        <v>1</v>
      </c>
      <c r="L624" s="2" t="str">
        <f t="shared" si="8"/>
        <v>Sun</v>
      </c>
    </row>
    <row r="625" ht="15.0" customHeight="1">
      <c r="A625" s="4">
        <v>42261.0</v>
      </c>
      <c r="B625" s="2">
        <v>52160.18</v>
      </c>
      <c r="C625" s="2">
        <v>49656.01</v>
      </c>
      <c r="D625" s="2">
        <v>1329.0</v>
      </c>
      <c r="E625" s="5">
        <f t="shared" si="1"/>
        <v>39.24768999</v>
      </c>
      <c r="F625" s="7">
        <f t="shared" si="2"/>
        <v>0.0480092285</v>
      </c>
      <c r="G625" s="5">
        <f t="shared" si="3"/>
        <v>1.884251317</v>
      </c>
      <c r="H625" s="7">
        <f t="shared" si="4"/>
        <v>0.0480092285</v>
      </c>
      <c r="I625" s="2" t="str">
        <f t="shared" si="5"/>
        <v>2015-09</v>
      </c>
      <c r="J625" s="2">
        <f t="shared" si="6"/>
        <v>2015</v>
      </c>
      <c r="K625" s="2">
        <f t="shared" si="7"/>
        <v>2</v>
      </c>
      <c r="L625" s="2" t="str">
        <f t="shared" si="8"/>
        <v>Mon</v>
      </c>
    </row>
    <row r="626" ht="15.0" customHeight="1">
      <c r="A626" s="4">
        <v>42262.0</v>
      </c>
      <c r="B626" s="2">
        <v>51002.84</v>
      </c>
      <c r="C626" s="2">
        <v>48601.97</v>
      </c>
      <c r="D626" s="2">
        <v>1300.0</v>
      </c>
      <c r="E626" s="5">
        <f t="shared" si="1"/>
        <v>39.23295385</v>
      </c>
      <c r="F626" s="7">
        <f t="shared" si="2"/>
        <v>0.04707326102</v>
      </c>
      <c r="G626" s="5">
        <f t="shared" si="3"/>
        <v>1.846823077</v>
      </c>
      <c r="H626" s="7">
        <f t="shared" si="4"/>
        <v>0.04707326102</v>
      </c>
      <c r="I626" s="2" t="str">
        <f t="shared" si="5"/>
        <v>2015-09</v>
      </c>
      <c r="J626" s="2">
        <f t="shared" si="6"/>
        <v>2015</v>
      </c>
      <c r="K626" s="2">
        <f t="shared" si="7"/>
        <v>3</v>
      </c>
      <c r="L626" s="2" t="str">
        <f t="shared" si="8"/>
        <v>Tue</v>
      </c>
    </row>
    <row r="627" ht="15.0" customHeight="1">
      <c r="A627" s="4">
        <v>42263.0</v>
      </c>
      <c r="B627" s="2">
        <v>30194.72</v>
      </c>
      <c r="C627" s="2">
        <v>28605.46</v>
      </c>
      <c r="D627" s="2">
        <v>773.0</v>
      </c>
      <c r="E627" s="5">
        <f t="shared" si="1"/>
        <v>39.06173351</v>
      </c>
      <c r="F627" s="7">
        <f t="shared" si="2"/>
        <v>0.0526337055</v>
      </c>
      <c r="G627" s="5">
        <f t="shared" si="3"/>
        <v>2.055963777</v>
      </c>
      <c r="H627" s="7">
        <f t="shared" si="4"/>
        <v>0.0526337055</v>
      </c>
      <c r="I627" s="2" t="str">
        <f t="shared" si="5"/>
        <v>2015-09</v>
      </c>
      <c r="J627" s="2">
        <f t="shared" si="6"/>
        <v>2015</v>
      </c>
      <c r="K627" s="2">
        <f t="shared" si="7"/>
        <v>4</v>
      </c>
      <c r="L627" s="2" t="str">
        <f t="shared" si="8"/>
        <v>Wed</v>
      </c>
    </row>
    <row r="628" ht="15.0" customHeight="1">
      <c r="A628" s="4">
        <v>42264.0</v>
      </c>
      <c r="B628" s="2">
        <v>29751.22</v>
      </c>
      <c r="C628" s="2">
        <v>28084.24</v>
      </c>
      <c r="D628" s="2">
        <v>760.0</v>
      </c>
      <c r="E628" s="5">
        <f t="shared" si="1"/>
        <v>39.14634211</v>
      </c>
      <c r="F628" s="7">
        <f t="shared" si="2"/>
        <v>0.05603064345</v>
      </c>
      <c r="G628" s="5">
        <f t="shared" si="3"/>
        <v>2.193394737</v>
      </c>
      <c r="H628" s="7">
        <f t="shared" si="4"/>
        <v>0.05603064345</v>
      </c>
      <c r="I628" s="2" t="str">
        <f t="shared" si="5"/>
        <v>2015-09</v>
      </c>
      <c r="J628" s="2">
        <f t="shared" si="6"/>
        <v>2015</v>
      </c>
      <c r="K628" s="2">
        <f t="shared" si="7"/>
        <v>5</v>
      </c>
      <c r="L628" s="2" t="str">
        <f t="shared" si="8"/>
        <v>Thu</v>
      </c>
    </row>
    <row r="629" ht="15.0" customHeight="1">
      <c r="A629" s="4">
        <v>42265.0</v>
      </c>
      <c r="B629" s="2">
        <v>68504.64</v>
      </c>
      <c r="C629" s="2">
        <v>64881.98</v>
      </c>
      <c r="D629" s="2">
        <v>1755.0</v>
      </c>
      <c r="E629" s="5">
        <f t="shared" si="1"/>
        <v>39.03398291</v>
      </c>
      <c r="F629" s="7">
        <f t="shared" si="2"/>
        <v>0.05288196537</v>
      </c>
      <c r="G629" s="5">
        <f t="shared" si="3"/>
        <v>2.064193732</v>
      </c>
      <c r="H629" s="7">
        <f t="shared" si="4"/>
        <v>0.05288196537</v>
      </c>
      <c r="I629" s="2" t="str">
        <f t="shared" si="5"/>
        <v>2015-09</v>
      </c>
      <c r="J629" s="2">
        <f t="shared" si="6"/>
        <v>2015</v>
      </c>
      <c r="K629" s="2">
        <f t="shared" si="7"/>
        <v>6</v>
      </c>
      <c r="L629" s="2" t="str">
        <f t="shared" si="8"/>
        <v>Fri</v>
      </c>
    </row>
    <row r="630" ht="15.0" customHeight="1">
      <c r="A630" s="4">
        <v>42266.0</v>
      </c>
      <c r="B630" s="2">
        <v>68996.56</v>
      </c>
      <c r="C630" s="2">
        <v>65211.57</v>
      </c>
      <c r="D630" s="2">
        <v>1766.0</v>
      </c>
      <c r="E630" s="5">
        <f t="shared" si="1"/>
        <v>39.06939977</v>
      </c>
      <c r="F630" s="7">
        <f t="shared" si="2"/>
        <v>0.05485766247</v>
      </c>
      <c r="G630" s="5">
        <f t="shared" si="3"/>
        <v>2.143255946</v>
      </c>
      <c r="H630" s="7">
        <f t="shared" si="4"/>
        <v>0.05485766247</v>
      </c>
      <c r="I630" s="2" t="str">
        <f t="shared" si="5"/>
        <v>2015-09</v>
      </c>
      <c r="J630" s="2">
        <f t="shared" si="6"/>
        <v>2015</v>
      </c>
      <c r="K630" s="2">
        <f t="shared" si="7"/>
        <v>7</v>
      </c>
      <c r="L630" s="2" t="str">
        <f t="shared" si="8"/>
        <v>Sat</v>
      </c>
    </row>
    <row r="631" ht="15.0" customHeight="1">
      <c r="A631" s="4">
        <v>42267.0</v>
      </c>
      <c r="B631" s="2">
        <v>41855.93</v>
      </c>
      <c r="C631" s="2">
        <v>39629.45</v>
      </c>
      <c r="D631" s="2">
        <v>1078.0</v>
      </c>
      <c r="E631" s="5">
        <f t="shared" si="1"/>
        <v>38.82739332</v>
      </c>
      <c r="F631" s="7">
        <f t="shared" si="2"/>
        <v>0.0531938963</v>
      </c>
      <c r="G631" s="5">
        <f t="shared" si="3"/>
        <v>2.065380334</v>
      </c>
      <c r="H631" s="7">
        <f t="shared" si="4"/>
        <v>0.0531938963</v>
      </c>
      <c r="I631" s="2" t="str">
        <f t="shared" si="5"/>
        <v>2015-09</v>
      </c>
      <c r="J631" s="2">
        <f t="shared" si="6"/>
        <v>2015</v>
      </c>
      <c r="K631" s="2">
        <f t="shared" si="7"/>
        <v>1</v>
      </c>
      <c r="L631" s="2" t="str">
        <f t="shared" si="8"/>
        <v>Sun</v>
      </c>
    </row>
    <row r="632" ht="15.0" customHeight="1">
      <c r="A632" s="4">
        <v>42268.0</v>
      </c>
      <c r="B632" s="2">
        <v>44303.47</v>
      </c>
      <c r="C632" s="2">
        <v>41485.46</v>
      </c>
      <c r="D632" s="2">
        <v>1124.0</v>
      </c>
      <c r="E632" s="5">
        <f t="shared" si="1"/>
        <v>39.41589858</v>
      </c>
      <c r="F632" s="7">
        <f t="shared" si="2"/>
        <v>0.06360698158</v>
      </c>
      <c r="G632" s="5">
        <f t="shared" si="3"/>
        <v>2.507126335</v>
      </c>
      <c r="H632" s="7">
        <f t="shared" si="4"/>
        <v>0.06360698158</v>
      </c>
      <c r="I632" s="2" t="str">
        <f t="shared" si="5"/>
        <v>2015-09</v>
      </c>
      <c r="J632" s="2">
        <f t="shared" si="6"/>
        <v>2015</v>
      </c>
      <c r="K632" s="2">
        <f t="shared" si="7"/>
        <v>2</v>
      </c>
      <c r="L632" s="2" t="str">
        <f t="shared" si="8"/>
        <v>Mon</v>
      </c>
    </row>
    <row r="633" ht="15.0" customHeight="1">
      <c r="A633" s="4">
        <v>42269.0</v>
      </c>
      <c r="B633" s="2">
        <v>46599.3</v>
      </c>
      <c r="C633" s="2">
        <v>43806.73</v>
      </c>
      <c r="D633" s="2">
        <v>1182.0</v>
      </c>
      <c r="E633" s="5">
        <f t="shared" si="1"/>
        <v>39.42411168</v>
      </c>
      <c r="F633" s="7">
        <f t="shared" si="2"/>
        <v>0.05992729505</v>
      </c>
      <c r="G633" s="5">
        <f t="shared" si="3"/>
        <v>2.362580372</v>
      </c>
      <c r="H633" s="7">
        <f t="shared" si="4"/>
        <v>0.05992729505</v>
      </c>
      <c r="I633" s="2" t="str">
        <f t="shared" si="5"/>
        <v>2015-09</v>
      </c>
      <c r="J633" s="2">
        <f t="shared" si="6"/>
        <v>2015</v>
      </c>
      <c r="K633" s="2">
        <f t="shared" si="7"/>
        <v>3</v>
      </c>
      <c r="L633" s="2" t="str">
        <f t="shared" si="8"/>
        <v>Tue</v>
      </c>
    </row>
    <row r="634" ht="15.0" customHeight="1">
      <c r="A634" s="4">
        <v>42270.0</v>
      </c>
      <c r="B634" s="2">
        <v>125182.76</v>
      </c>
      <c r="C634" s="2">
        <v>138583.84</v>
      </c>
      <c r="D634" s="2">
        <v>3725.0</v>
      </c>
      <c r="E634" s="5">
        <f t="shared" si="1"/>
        <v>33.60611007</v>
      </c>
      <c r="F634" s="7">
        <f t="shared" si="2"/>
        <v>-0.1070521212</v>
      </c>
      <c r="G634" s="5">
        <f t="shared" si="3"/>
        <v>-3.597605369</v>
      </c>
      <c r="H634" s="7">
        <f t="shared" si="4"/>
        <v>-0.1070521212</v>
      </c>
      <c r="I634" s="2" t="str">
        <f t="shared" si="5"/>
        <v>2015-09</v>
      </c>
      <c r="J634" s="2">
        <f t="shared" si="6"/>
        <v>2015</v>
      </c>
      <c r="K634" s="2">
        <f t="shared" si="7"/>
        <v>4</v>
      </c>
      <c r="L634" s="2" t="str">
        <f t="shared" si="8"/>
        <v>Wed</v>
      </c>
    </row>
    <row r="635" ht="15.0" customHeight="1">
      <c r="A635" s="4">
        <v>42271.0</v>
      </c>
      <c r="B635" s="2">
        <v>150036.81</v>
      </c>
      <c r="C635" s="2">
        <v>167704.86</v>
      </c>
      <c r="D635" s="2">
        <v>4492.0</v>
      </c>
      <c r="E635" s="5">
        <f t="shared" si="1"/>
        <v>33.4008927</v>
      </c>
      <c r="F635" s="7">
        <f t="shared" si="2"/>
        <v>-0.1177581022</v>
      </c>
      <c r="G635" s="5">
        <f t="shared" si="3"/>
        <v>-3.933225735</v>
      </c>
      <c r="H635" s="7">
        <f t="shared" si="4"/>
        <v>-0.1177581022</v>
      </c>
      <c r="I635" s="2" t="str">
        <f t="shared" si="5"/>
        <v>2015-09</v>
      </c>
      <c r="J635" s="2">
        <f t="shared" si="6"/>
        <v>2015</v>
      </c>
      <c r="K635" s="2">
        <f t="shared" si="7"/>
        <v>5</v>
      </c>
      <c r="L635" s="2" t="str">
        <f t="shared" si="8"/>
        <v>Thu</v>
      </c>
    </row>
    <row r="636" ht="15.0" customHeight="1">
      <c r="A636" s="4">
        <v>42272.0</v>
      </c>
      <c r="B636" s="2">
        <v>368037.69</v>
      </c>
      <c r="C636" s="2">
        <v>413540.81</v>
      </c>
      <c r="D636" s="2">
        <v>11030.0</v>
      </c>
      <c r="E636" s="5">
        <f t="shared" si="1"/>
        <v>33.36697099</v>
      </c>
      <c r="F636" s="7">
        <f t="shared" si="2"/>
        <v>-0.1236371199</v>
      </c>
      <c r="G636" s="5">
        <f t="shared" si="3"/>
        <v>-4.125396192</v>
      </c>
      <c r="H636" s="7">
        <f t="shared" si="4"/>
        <v>-0.1236371199</v>
      </c>
      <c r="I636" s="2" t="str">
        <f t="shared" si="5"/>
        <v>2015-09</v>
      </c>
      <c r="J636" s="2">
        <f t="shared" si="6"/>
        <v>2015</v>
      </c>
      <c r="K636" s="2">
        <f t="shared" si="7"/>
        <v>6</v>
      </c>
      <c r="L636" s="2" t="str">
        <f t="shared" si="8"/>
        <v>Fri</v>
      </c>
    </row>
    <row r="637" ht="15.0" customHeight="1">
      <c r="A637" s="4">
        <v>42273.0</v>
      </c>
      <c r="B637" s="2">
        <v>351319.64</v>
      </c>
      <c r="C637" s="2">
        <v>397626.59</v>
      </c>
      <c r="D637" s="2">
        <v>10528.0</v>
      </c>
      <c r="E637" s="5">
        <f t="shared" si="1"/>
        <v>33.3700266</v>
      </c>
      <c r="F637" s="7">
        <f t="shared" si="2"/>
        <v>-0.1318086003</v>
      </c>
      <c r="G637" s="5">
        <f t="shared" si="3"/>
        <v>-4.398456497</v>
      </c>
      <c r="H637" s="7">
        <f t="shared" si="4"/>
        <v>-0.1318086003</v>
      </c>
      <c r="I637" s="2" t="str">
        <f t="shared" si="5"/>
        <v>2015-09</v>
      </c>
      <c r="J637" s="2">
        <f t="shared" si="6"/>
        <v>2015</v>
      </c>
      <c r="K637" s="2">
        <f t="shared" si="7"/>
        <v>7</v>
      </c>
      <c r="L637" s="2" t="str">
        <f t="shared" si="8"/>
        <v>Sat</v>
      </c>
    </row>
    <row r="638" ht="15.0" customHeight="1">
      <c r="A638" s="4">
        <v>42274.0</v>
      </c>
      <c r="B638" s="2">
        <v>163289.94</v>
      </c>
      <c r="C638" s="2">
        <v>185404.04</v>
      </c>
      <c r="D638" s="2">
        <v>4895.0</v>
      </c>
      <c r="E638" s="5">
        <f t="shared" si="1"/>
        <v>33.35851685</v>
      </c>
      <c r="F638" s="7">
        <f t="shared" si="2"/>
        <v>-0.1354284287</v>
      </c>
      <c r="G638" s="5">
        <f t="shared" si="3"/>
        <v>-4.517691522</v>
      </c>
      <c r="H638" s="7">
        <f t="shared" si="4"/>
        <v>-0.1354284287</v>
      </c>
      <c r="I638" s="2" t="str">
        <f t="shared" si="5"/>
        <v>2015-09</v>
      </c>
      <c r="J638" s="2">
        <f t="shared" si="6"/>
        <v>2015</v>
      </c>
      <c r="K638" s="2">
        <f t="shared" si="7"/>
        <v>1</v>
      </c>
      <c r="L638" s="2" t="str">
        <f t="shared" si="8"/>
        <v>Sun</v>
      </c>
    </row>
    <row r="639" ht="15.0" customHeight="1">
      <c r="A639" s="4">
        <v>42275.0</v>
      </c>
      <c r="B639" s="2">
        <v>190892.46</v>
      </c>
      <c r="C639" s="2">
        <v>216571.06</v>
      </c>
      <c r="D639" s="2">
        <v>5720.0</v>
      </c>
      <c r="E639" s="5">
        <f t="shared" si="1"/>
        <v>33.37280769</v>
      </c>
      <c r="F639" s="7">
        <f t="shared" si="2"/>
        <v>-0.1345186709</v>
      </c>
      <c r="G639" s="5">
        <f t="shared" si="3"/>
        <v>-4.489265734</v>
      </c>
      <c r="H639" s="7">
        <f t="shared" si="4"/>
        <v>-0.1345186709</v>
      </c>
      <c r="I639" s="2" t="str">
        <f t="shared" si="5"/>
        <v>2015-09</v>
      </c>
      <c r="J639" s="2">
        <f t="shared" si="6"/>
        <v>2015</v>
      </c>
      <c r="K639" s="2">
        <f t="shared" si="7"/>
        <v>2</v>
      </c>
      <c r="L639" s="2" t="str">
        <f t="shared" si="8"/>
        <v>Mon</v>
      </c>
    </row>
    <row r="640" ht="15.0" customHeight="1">
      <c r="A640" s="4">
        <v>42276.0</v>
      </c>
      <c r="B640" s="2">
        <v>143082.13</v>
      </c>
      <c r="C640" s="2">
        <v>162929.02</v>
      </c>
      <c r="D640" s="2">
        <v>4288.0</v>
      </c>
      <c r="E640" s="5">
        <f t="shared" si="1"/>
        <v>33.36803405</v>
      </c>
      <c r="F640" s="7">
        <f t="shared" si="2"/>
        <v>-0.1387097746</v>
      </c>
      <c r="G640" s="5">
        <f t="shared" si="3"/>
        <v>-4.628472481</v>
      </c>
      <c r="H640" s="7">
        <f t="shared" si="4"/>
        <v>-0.1387097746</v>
      </c>
      <c r="I640" s="2" t="str">
        <f t="shared" si="5"/>
        <v>2015-09</v>
      </c>
      <c r="J640" s="2">
        <f t="shared" si="6"/>
        <v>2015</v>
      </c>
      <c r="K640" s="2">
        <f t="shared" si="7"/>
        <v>3</v>
      </c>
      <c r="L640" s="2" t="str">
        <f t="shared" si="8"/>
        <v>Tue</v>
      </c>
    </row>
    <row r="641" ht="15.0" customHeight="1">
      <c r="A641" s="4">
        <v>42277.0</v>
      </c>
      <c r="B641" s="2">
        <v>323548.79</v>
      </c>
      <c r="C641" s="2">
        <v>368434.89</v>
      </c>
      <c r="D641" s="2">
        <v>9693.0</v>
      </c>
      <c r="E641" s="5">
        <f t="shared" si="1"/>
        <v>33.37963376</v>
      </c>
      <c r="F641" s="7">
        <f t="shared" si="2"/>
        <v>-0.1387305451</v>
      </c>
      <c r="G641" s="5">
        <f t="shared" si="3"/>
        <v>-4.630774786</v>
      </c>
      <c r="H641" s="7">
        <f t="shared" si="4"/>
        <v>-0.1387305451</v>
      </c>
      <c r="I641" s="2" t="str">
        <f t="shared" si="5"/>
        <v>2015-09</v>
      </c>
      <c r="J641" s="2">
        <f t="shared" si="6"/>
        <v>2015</v>
      </c>
      <c r="K641" s="2">
        <f t="shared" si="7"/>
        <v>4</v>
      </c>
      <c r="L641" s="2" t="str">
        <f t="shared" si="8"/>
        <v>Wed</v>
      </c>
    </row>
    <row r="642" ht="15.0" customHeight="1">
      <c r="A642" s="4">
        <v>42278.0</v>
      </c>
      <c r="B642" s="2">
        <v>402312.33</v>
      </c>
      <c r="C642" s="2">
        <v>459285.8</v>
      </c>
      <c r="D642" s="2">
        <v>12065.0</v>
      </c>
      <c r="E642" s="5">
        <f t="shared" si="1"/>
        <v>33.34540655</v>
      </c>
      <c r="F642" s="7">
        <f t="shared" si="2"/>
        <v>-0.1416150233</v>
      </c>
      <c r="G642" s="5">
        <f t="shared" si="3"/>
        <v>-4.722210526</v>
      </c>
      <c r="H642" s="7">
        <f t="shared" si="4"/>
        <v>-0.1416150233</v>
      </c>
      <c r="I642" s="2" t="str">
        <f t="shared" si="5"/>
        <v>2015-10</v>
      </c>
      <c r="J642" s="2">
        <f t="shared" si="6"/>
        <v>2015</v>
      </c>
      <c r="K642" s="2">
        <f t="shared" si="7"/>
        <v>5</v>
      </c>
      <c r="L642" s="2" t="str">
        <f t="shared" si="8"/>
        <v>Thu</v>
      </c>
    </row>
    <row r="643" ht="15.0" customHeight="1">
      <c r="A643" s="4">
        <v>42279.0</v>
      </c>
      <c r="B643" s="2">
        <v>393635.17</v>
      </c>
      <c r="C643" s="2">
        <v>448390.97</v>
      </c>
      <c r="D643" s="2">
        <v>11758.0</v>
      </c>
      <c r="E643" s="5">
        <f t="shared" si="1"/>
        <v>33.47807195</v>
      </c>
      <c r="F643" s="7">
        <f t="shared" si="2"/>
        <v>-0.139102916</v>
      </c>
      <c r="G643" s="5">
        <f t="shared" si="3"/>
        <v>-4.656897432</v>
      </c>
      <c r="H643" s="7">
        <f t="shared" si="4"/>
        <v>-0.139102916</v>
      </c>
      <c r="I643" s="2" t="str">
        <f t="shared" si="5"/>
        <v>2015-10</v>
      </c>
      <c r="J643" s="2">
        <f t="shared" si="6"/>
        <v>2015</v>
      </c>
      <c r="K643" s="2">
        <f t="shared" si="7"/>
        <v>6</v>
      </c>
      <c r="L643" s="2" t="str">
        <f t="shared" si="8"/>
        <v>Fri</v>
      </c>
    </row>
    <row r="644" ht="15.0" customHeight="1">
      <c r="A644" s="4">
        <v>42280.0</v>
      </c>
      <c r="B644" s="2">
        <v>451100.06</v>
      </c>
      <c r="C644" s="2">
        <v>515549.39</v>
      </c>
      <c r="D644" s="2">
        <v>13508.0</v>
      </c>
      <c r="E644" s="5">
        <f t="shared" si="1"/>
        <v>33.39502961</v>
      </c>
      <c r="F644" s="7">
        <f t="shared" si="2"/>
        <v>-0.1428714729</v>
      </c>
      <c r="G644" s="5">
        <f t="shared" si="3"/>
        <v>-4.771197068</v>
      </c>
      <c r="H644" s="7">
        <f t="shared" si="4"/>
        <v>-0.1428714729</v>
      </c>
      <c r="I644" s="2" t="str">
        <f t="shared" si="5"/>
        <v>2015-10</v>
      </c>
      <c r="J644" s="2">
        <f t="shared" si="6"/>
        <v>2015</v>
      </c>
      <c r="K644" s="2">
        <f t="shared" si="7"/>
        <v>7</v>
      </c>
      <c r="L644" s="2" t="str">
        <f t="shared" si="8"/>
        <v>Sat</v>
      </c>
    </row>
    <row r="645" ht="15.0" customHeight="1">
      <c r="A645" s="4">
        <v>42281.0</v>
      </c>
      <c r="B645" s="2">
        <v>202902.62</v>
      </c>
      <c r="C645" s="2">
        <v>232360.33</v>
      </c>
      <c r="D645" s="2">
        <v>6085.0</v>
      </c>
      <c r="E645" s="5">
        <f t="shared" si="1"/>
        <v>33.3447198</v>
      </c>
      <c r="F645" s="7">
        <f t="shared" si="2"/>
        <v>-0.1451815161</v>
      </c>
      <c r="G645" s="5">
        <f t="shared" si="3"/>
        <v>-4.841036976</v>
      </c>
      <c r="H645" s="7">
        <f t="shared" si="4"/>
        <v>-0.1451815161</v>
      </c>
      <c r="I645" s="2" t="str">
        <f t="shared" si="5"/>
        <v>2015-10</v>
      </c>
      <c r="J645" s="2">
        <f t="shared" si="6"/>
        <v>2015</v>
      </c>
      <c r="K645" s="2">
        <f t="shared" si="7"/>
        <v>1</v>
      </c>
      <c r="L645" s="2" t="str">
        <f t="shared" si="8"/>
        <v>Sun</v>
      </c>
    </row>
    <row r="646" ht="15.0" customHeight="1">
      <c r="A646" s="4">
        <v>42282.0</v>
      </c>
      <c r="B646" s="2">
        <v>294557.65</v>
      </c>
      <c r="C646" s="2">
        <v>336897.92</v>
      </c>
      <c r="D646" s="2">
        <v>8828.0</v>
      </c>
      <c r="E646" s="5">
        <f t="shared" si="1"/>
        <v>33.36629474</v>
      </c>
      <c r="F646" s="7">
        <f t="shared" si="2"/>
        <v>-0.1437418787</v>
      </c>
      <c r="G646" s="5">
        <f t="shared" si="3"/>
        <v>-4.796133892</v>
      </c>
      <c r="H646" s="7">
        <f t="shared" si="4"/>
        <v>-0.1437418787</v>
      </c>
      <c r="I646" s="2" t="str">
        <f t="shared" si="5"/>
        <v>2015-10</v>
      </c>
      <c r="J646" s="2">
        <f t="shared" si="6"/>
        <v>2015</v>
      </c>
      <c r="K646" s="2">
        <f t="shared" si="7"/>
        <v>2</v>
      </c>
      <c r="L646" s="2" t="str">
        <f t="shared" si="8"/>
        <v>Mon</v>
      </c>
    </row>
    <row r="647" ht="15.0" customHeight="1">
      <c r="A647" s="4">
        <v>42283.0</v>
      </c>
      <c r="B647" s="2">
        <v>221618.33</v>
      </c>
      <c r="C647" s="2">
        <v>253291.06</v>
      </c>
      <c r="D647" s="2">
        <v>6636.0</v>
      </c>
      <c r="E647" s="5">
        <f t="shared" si="1"/>
        <v>33.39637281</v>
      </c>
      <c r="F647" s="7">
        <f t="shared" si="2"/>
        <v>-0.1429156605</v>
      </c>
      <c r="G647" s="5">
        <f t="shared" si="3"/>
        <v>-4.772864678</v>
      </c>
      <c r="H647" s="7">
        <f t="shared" si="4"/>
        <v>-0.1429156605</v>
      </c>
      <c r="I647" s="2" t="str">
        <f t="shared" si="5"/>
        <v>2015-10</v>
      </c>
      <c r="J647" s="2">
        <f t="shared" si="6"/>
        <v>2015</v>
      </c>
      <c r="K647" s="2">
        <f t="shared" si="7"/>
        <v>3</v>
      </c>
      <c r="L647" s="2" t="str">
        <f t="shared" si="8"/>
        <v>Tue</v>
      </c>
    </row>
    <row r="648" ht="15.0" customHeight="1">
      <c r="A648" s="4">
        <v>42284.0</v>
      </c>
      <c r="B648" s="2">
        <v>63968.38</v>
      </c>
      <c r="C648" s="2">
        <v>61942.84</v>
      </c>
      <c r="D648" s="2">
        <v>1622.0</v>
      </c>
      <c r="E648" s="5">
        <f t="shared" si="1"/>
        <v>39.43796547</v>
      </c>
      <c r="F648" s="7">
        <f t="shared" si="2"/>
        <v>0.03166470684</v>
      </c>
      <c r="G648" s="5">
        <f t="shared" si="3"/>
        <v>1.248791615</v>
      </c>
      <c r="H648" s="7">
        <f t="shared" si="4"/>
        <v>0.03166470684</v>
      </c>
      <c r="I648" s="2" t="str">
        <f t="shared" si="5"/>
        <v>2015-10</v>
      </c>
      <c r="J648" s="2">
        <f t="shared" si="6"/>
        <v>2015</v>
      </c>
      <c r="K648" s="2">
        <f t="shared" si="7"/>
        <v>4</v>
      </c>
      <c r="L648" s="2" t="str">
        <f t="shared" si="8"/>
        <v>Wed</v>
      </c>
    </row>
    <row r="649" ht="15.0" customHeight="1">
      <c r="A649" s="4">
        <v>42285.0</v>
      </c>
      <c r="B649" s="2">
        <v>59609.54</v>
      </c>
      <c r="C649" s="2">
        <v>57736.48</v>
      </c>
      <c r="D649" s="2">
        <v>1512.0</v>
      </c>
      <c r="E649" s="5">
        <f t="shared" si="1"/>
        <v>39.42429894</v>
      </c>
      <c r="F649" s="7">
        <f t="shared" si="2"/>
        <v>0.03142215155</v>
      </c>
      <c r="G649" s="5">
        <f t="shared" si="3"/>
        <v>1.238796296</v>
      </c>
      <c r="H649" s="7">
        <f t="shared" si="4"/>
        <v>0.03142215155</v>
      </c>
      <c r="I649" s="2" t="str">
        <f t="shared" si="5"/>
        <v>2015-10</v>
      </c>
      <c r="J649" s="2">
        <f t="shared" si="6"/>
        <v>2015</v>
      </c>
      <c r="K649" s="2">
        <f t="shared" si="7"/>
        <v>5</v>
      </c>
      <c r="L649" s="2" t="str">
        <f t="shared" si="8"/>
        <v>Thu</v>
      </c>
    </row>
    <row r="650" ht="15.0" customHeight="1">
      <c r="A650" s="4">
        <v>42286.0</v>
      </c>
      <c r="B650" s="2">
        <v>126588.25</v>
      </c>
      <c r="C650" s="2">
        <v>122622.36</v>
      </c>
      <c r="D650" s="2">
        <v>3211.0</v>
      </c>
      <c r="E650" s="5">
        <f t="shared" si="1"/>
        <v>39.4233105</v>
      </c>
      <c r="F650" s="7">
        <f t="shared" si="2"/>
        <v>0.03132905305</v>
      </c>
      <c r="G650" s="5">
        <f t="shared" si="3"/>
        <v>1.235094986</v>
      </c>
      <c r="H650" s="7">
        <f t="shared" si="4"/>
        <v>0.03132905305</v>
      </c>
      <c r="I650" s="2" t="str">
        <f t="shared" si="5"/>
        <v>2015-10</v>
      </c>
      <c r="J650" s="2">
        <f t="shared" si="6"/>
        <v>2015</v>
      </c>
      <c r="K650" s="2">
        <f t="shared" si="7"/>
        <v>6</v>
      </c>
      <c r="L650" s="2" t="str">
        <f t="shared" si="8"/>
        <v>Fri</v>
      </c>
    </row>
    <row r="651" ht="15.0" customHeight="1">
      <c r="A651" s="4">
        <v>42287.0</v>
      </c>
      <c r="B651" s="2">
        <v>119755.01</v>
      </c>
      <c r="C651" s="2">
        <v>116003.69</v>
      </c>
      <c r="D651" s="2">
        <v>3037.0</v>
      </c>
      <c r="E651" s="5">
        <f t="shared" si="1"/>
        <v>39.43200856</v>
      </c>
      <c r="F651" s="7">
        <f t="shared" si="2"/>
        <v>0.0313249525</v>
      </c>
      <c r="G651" s="5">
        <f t="shared" si="3"/>
        <v>1.235205795</v>
      </c>
      <c r="H651" s="7">
        <f t="shared" si="4"/>
        <v>0.0313249525</v>
      </c>
      <c r="I651" s="2" t="str">
        <f t="shared" si="5"/>
        <v>2015-10</v>
      </c>
      <c r="J651" s="2">
        <f t="shared" si="6"/>
        <v>2015</v>
      </c>
      <c r="K651" s="2">
        <f t="shared" si="7"/>
        <v>7</v>
      </c>
      <c r="L651" s="2" t="str">
        <f t="shared" si="8"/>
        <v>Sat</v>
      </c>
    </row>
    <row r="652" ht="15.0" customHeight="1">
      <c r="A652" s="4">
        <v>42288.0</v>
      </c>
      <c r="B652" s="2">
        <v>57413.41</v>
      </c>
      <c r="C652" s="2">
        <v>55617.58</v>
      </c>
      <c r="D652" s="2">
        <v>1456.0</v>
      </c>
      <c r="E652" s="5">
        <f t="shared" si="1"/>
        <v>39.43228709</v>
      </c>
      <c r="F652" s="7">
        <f t="shared" si="2"/>
        <v>0.03127892943</v>
      </c>
      <c r="G652" s="5">
        <f t="shared" si="3"/>
        <v>1.233399725</v>
      </c>
      <c r="H652" s="7">
        <f t="shared" si="4"/>
        <v>0.03127892943</v>
      </c>
      <c r="I652" s="2" t="str">
        <f t="shared" si="5"/>
        <v>2015-10</v>
      </c>
      <c r="J652" s="2">
        <f t="shared" si="6"/>
        <v>2015</v>
      </c>
      <c r="K652" s="2">
        <f t="shared" si="7"/>
        <v>1</v>
      </c>
      <c r="L652" s="2" t="str">
        <f t="shared" si="8"/>
        <v>Sun</v>
      </c>
    </row>
    <row r="653" ht="15.0" customHeight="1">
      <c r="A653" s="4">
        <v>42289.0</v>
      </c>
      <c r="B653" s="2">
        <v>57749.14</v>
      </c>
      <c r="C653" s="2">
        <v>55933.01</v>
      </c>
      <c r="D653" s="2">
        <v>1465.0</v>
      </c>
      <c r="E653" s="5">
        <f t="shared" si="1"/>
        <v>39.41920819</v>
      </c>
      <c r="F653" s="7">
        <f t="shared" si="2"/>
        <v>0.03144860685</v>
      </c>
      <c r="G653" s="5">
        <f t="shared" si="3"/>
        <v>1.239679181</v>
      </c>
      <c r="H653" s="7">
        <f t="shared" si="4"/>
        <v>0.03144860685</v>
      </c>
      <c r="I653" s="2" t="str">
        <f t="shared" si="5"/>
        <v>2015-10</v>
      </c>
      <c r="J653" s="2">
        <f t="shared" si="6"/>
        <v>2015</v>
      </c>
      <c r="K653" s="2">
        <f t="shared" si="7"/>
        <v>2</v>
      </c>
      <c r="L653" s="2" t="str">
        <f t="shared" si="8"/>
        <v>Mon</v>
      </c>
    </row>
    <row r="654" ht="15.0" customHeight="1">
      <c r="A654" s="4">
        <v>42290.0</v>
      </c>
      <c r="B654" s="2">
        <v>40140.82</v>
      </c>
      <c r="C654" s="2">
        <v>38881.09</v>
      </c>
      <c r="D654" s="2">
        <v>1018.0</v>
      </c>
      <c r="E654" s="5">
        <f t="shared" si="1"/>
        <v>39.4310609</v>
      </c>
      <c r="F654" s="7">
        <f t="shared" si="2"/>
        <v>0.03138276697</v>
      </c>
      <c r="G654" s="5">
        <f t="shared" si="3"/>
        <v>1.237455796</v>
      </c>
      <c r="H654" s="7">
        <f t="shared" si="4"/>
        <v>0.03138276697</v>
      </c>
      <c r="I654" s="2" t="str">
        <f t="shared" si="5"/>
        <v>2015-10</v>
      </c>
      <c r="J654" s="2">
        <f t="shared" si="6"/>
        <v>2015</v>
      </c>
      <c r="K654" s="2">
        <f t="shared" si="7"/>
        <v>3</v>
      </c>
      <c r="L654" s="2" t="str">
        <f t="shared" si="8"/>
        <v>Tue</v>
      </c>
    </row>
    <row r="655" ht="15.0" customHeight="1">
      <c r="A655" s="4">
        <v>42291.0</v>
      </c>
      <c r="B655" s="2">
        <v>42195.82</v>
      </c>
      <c r="C655" s="2">
        <v>40869.25</v>
      </c>
      <c r="D655" s="2">
        <v>1070.0</v>
      </c>
      <c r="E655" s="5">
        <f t="shared" si="1"/>
        <v>39.43534579</v>
      </c>
      <c r="F655" s="7">
        <f t="shared" si="2"/>
        <v>0.0314384221</v>
      </c>
      <c r="G655" s="5">
        <f t="shared" si="3"/>
        <v>1.239785047</v>
      </c>
      <c r="H655" s="7">
        <f t="shared" si="4"/>
        <v>0.0314384221</v>
      </c>
      <c r="I655" s="2" t="str">
        <f t="shared" si="5"/>
        <v>2015-10</v>
      </c>
      <c r="J655" s="2">
        <f t="shared" si="6"/>
        <v>2015</v>
      </c>
      <c r="K655" s="2">
        <f t="shared" si="7"/>
        <v>4</v>
      </c>
      <c r="L655" s="2" t="str">
        <f t="shared" si="8"/>
        <v>Wed</v>
      </c>
    </row>
    <row r="656" ht="15.0" customHeight="1">
      <c r="A656" s="4">
        <v>42292.0</v>
      </c>
      <c r="B656" s="2">
        <v>53490.8</v>
      </c>
      <c r="C656" s="2">
        <v>51799.17</v>
      </c>
      <c r="D656" s="2">
        <v>1357.0</v>
      </c>
      <c r="E656" s="5">
        <f t="shared" si="1"/>
        <v>39.41842299</v>
      </c>
      <c r="F656" s="7">
        <f t="shared" si="2"/>
        <v>0.0316246906</v>
      </c>
      <c r="G656" s="5">
        <f t="shared" si="3"/>
        <v>1.246595431</v>
      </c>
      <c r="H656" s="7">
        <f t="shared" si="4"/>
        <v>0.0316246906</v>
      </c>
      <c r="I656" s="2" t="str">
        <f t="shared" si="5"/>
        <v>2015-10</v>
      </c>
      <c r="J656" s="2">
        <f t="shared" si="6"/>
        <v>2015</v>
      </c>
      <c r="K656" s="2">
        <f t="shared" si="7"/>
        <v>5</v>
      </c>
      <c r="L656" s="2" t="str">
        <f t="shared" si="8"/>
        <v>Thu</v>
      </c>
    </row>
    <row r="657" ht="15.0" customHeight="1">
      <c r="A657" s="4">
        <v>42293.0</v>
      </c>
      <c r="B657" s="2">
        <v>110809.32</v>
      </c>
      <c r="C657" s="2">
        <v>107331.98</v>
      </c>
      <c r="D657" s="2">
        <v>2810.0</v>
      </c>
      <c r="E657" s="5">
        <f t="shared" si="1"/>
        <v>39.43392171</v>
      </c>
      <c r="F657" s="7">
        <f t="shared" si="2"/>
        <v>0.03138129536</v>
      </c>
      <c r="G657" s="5">
        <f t="shared" si="3"/>
        <v>1.237487544</v>
      </c>
      <c r="H657" s="7">
        <f t="shared" si="4"/>
        <v>0.03138129536</v>
      </c>
      <c r="I657" s="2" t="str">
        <f t="shared" si="5"/>
        <v>2015-10</v>
      </c>
      <c r="J657" s="2">
        <f t="shared" si="6"/>
        <v>2015</v>
      </c>
      <c r="K657" s="2">
        <f t="shared" si="7"/>
        <v>6</v>
      </c>
      <c r="L657" s="2" t="str">
        <f t="shared" si="8"/>
        <v>Fri</v>
      </c>
    </row>
    <row r="658" ht="15.0" customHeight="1">
      <c r="A658" s="4">
        <v>42294.0</v>
      </c>
      <c r="B658" s="2">
        <v>111527.01</v>
      </c>
      <c r="C658" s="2">
        <v>108023.61</v>
      </c>
      <c r="D658" s="2">
        <v>2829.0</v>
      </c>
      <c r="E658" s="5">
        <f t="shared" si="1"/>
        <v>39.42276776</v>
      </c>
      <c r="F658" s="7">
        <f t="shared" si="2"/>
        <v>0.03141301825</v>
      </c>
      <c r="G658" s="5">
        <f t="shared" si="3"/>
        <v>1.238388123</v>
      </c>
      <c r="H658" s="7">
        <f t="shared" si="4"/>
        <v>0.03141301825</v>
      </c>
      <c r="I658" s="2" t="str">
        <f t="shared" si="5"/>
        <v>2015-10</v>
      </c>
      <c r="J658" s="2">
        <f t="shared" si="6"/>
        <v>2015</v>
      </c>
      <c r="K658" s="2">
        <f t="shared" si="7"/>
        <v>7</v>
      </c>
      <c r="L658" s="2" t="str">
        <f t="shared" si="8"/>
        <v>Sat</v>
      </c>
    </row>
    <row r="659" ht="15.0" customHeight="1">
      <c r="A659" s="4">
        <v>42295.0</v>
      </c>
      <c r="B659" s="2">
        <v>59808.14</v>
      </c>
      <c r="C659" s="2">
        <v>57937.46</v>
      </c>
      <c r="D659" s="2">
        <v>1517.0</v>
      </c>
      <c r="E659" s="5">
        <f t="shared" si="1"/>
        <v>39.42527357</v>
      </c>
      <c r="F659" s="7">
        <f t="shared" si="2"/>
        <v>0.03127801667</v>
      </c>
      <c r="G659" s="5">
        <f t="shared" si="3"/>
        <v>1.233144364</v>
      </c>
      <c r="H659" s="7">
        <f t="shared" si="4"/>
        <v>0.03127801667</v>
      </c>
      <c r="I659" s="2" t="str">
        <f t="shared" si="5"/>
        <v>2015-10</v>
      </c>
      <c r="J659" s="2">
        <f t="shared" si="6"/>
        <v>2015</v>
      </c>
      <c r="K659" s="2">
        <f t="shared" si="7"/>
        <v>1</v>
      </c>
      <c r="L659" s="2" t="str">
        <f t="shared" si="8"/>
        <v>Sun</v>
      </c>
    </row>
    <row r="660" ht="15.0" customHeight="1">
      <c r="A660" s="4">
        <v>42296.0</v>
      </c>
      <c r="B660" s="2">
        <v>55166.23</v>
      </c>
      <c r="C660" s="2">
        <v>53436.9</v>
      </c>
      <c r="D660" s="2">
        <v>1399.0</v>
      </c>
      <c r="E660" s="5">
        <f t="shared" si="1"/>
        <v>39.43261615</v>
      </c>
      <c r="F660" s="7">
        <f t="shared" si="2"/>
        <v>0.03134761973</v>
      </c>
      <c r="G660" s="5">
        <f t="shared" si="3"/>
        <v>1.236118656</v>
      </c>
      <c r="H660" s="7">
        <f t="shared" si="4"/>
        <v>0.03134761973</v>
      </c>
      <c r="I660" s="2" t="str">
        <f t="shared" si="5"/>
        <v>2015-10</v>
      </c>
      <c r="J660" s="2">
        <f t="shared" si="6"/>
        <v>2015</v>
      </c>
      <c r="K660" s="2">
        <f t="shared" si="7"/>
        <v>2</v>
      </c>
      <c r="L660" s="2" t="str">
        <f t="shared" si="8"/>
        <v>Mon</v>
      </c>
    </row>
    <row r="661" ht="15.0" customHeight="1">
      <c r="A661" s="4">
        <v>42297.0</v>
      </c>
      <c r="B661" s="2">
        <v>42054.68</v>
      </c>
      <c r="C661" s="2">
        <v>40736.15</v>
      </c>
      <c r="D661" s="2">
        <v>1067.0</v>
      </c>
      <c r="E661" s="5">
        <f t="shared" si="1"/>
        <v>39.41394564</v>
      </c>
      <c r="F661" s="7">
        <f t="shared" si="2"/>
        <v>0.03135275313</v>
      </c>
      <c r="G661" s="5">
        <f t="shared" si="3"/>
        <v>1.235735708</v>
      </c>
      <c r="H661" s="7">
        <f t="shared" si="4"/>
        <v>0.03135275313</v>
      </c>
      <c r="I661" s="2" t="str">
        <f t="shared" si="5"/>
        <v>2015-10</v>
      </c>
      <c r="J661" s="2">
        <f t="shared" si="6"/>
        <v>2015</v>
      </c>
      <c r="K661" s="2">
        <f t="shared" si="7"/>
        <v>3</v>
      </c>
      <c r="L661" s="2" t="str">
        <f t="shared" si="8"/>
        <v>Tue</v>
      </c>
    </row>
    <row r="662" ht="15.0" customHeight="1">
      <c r="A662" s="4">
        <v>42298.0</v>
      </c>
      <c r="B662" s="2">
        <v>53678.18</v>
      </c>
      <c r="C662" s="2">
        <v>51999.86</v>
      </c>
      <c r="D662" s="2">
        <v>1361.0</v>
      </c>
      <c r="E662" s="5">
        <f t="shared" si="1"/>
        <v>39.44024982</v>
      </c>
      <c r="F662" s="7">
        <f t="shared" si="2"/>
        <v>0.03126633578</v>
      </c>
      <c r="G662" s="5">
        <f t="shared" si="3"/>
        <v>1.233152094</v>
      </c>
      <c r="H662" s="7">
        <f t="shared" si="4"/>
        <v>0.03126633578</v>
      </c>
      <c r="I662" s="2" t="str">
        <f t="shared" si="5"/>
        <v>2015-10</v>
      </c>
      <c r="J662" s="2">
        <f t="shared" si="6"/>
        <v>2015</v>
      </c>
      <c r="K662" s="2">
        <f t="shared" si="7"/>
        <v>4</v>
      </c>
      <c r="L662" s="2" t="str">
        <f t="shared" si="8"/>
        <v>Wed</v>
      </c>
    </row>
    <row r="663" ht="15.0" customHeight="1">
      <c r="A663" s="4">
        <v>42299.0</v>
      </c>
      <c r="B663" s="2">
        <v>55930.17</v>
      </c>
      <c r="C663" s="2">
        <v>54177.69</v>
      </c>
      <c r="D663" s="2">
        <v>1419.0</v>
      </c>
      <c r="E663" s="5">
        <f t="shared" si="1"/>
        <v>39.41520085</v>
      </c>
      <c r="F663" s="7">
        <f t="shared" si="2"/>
        <v>0.03133335729</v>
      </c>
      <c r="G663" s="5">
        <f t="shared" si="3"/>
        <v>1.235010571</v>
      </c>
      <c r="H663" s="7">
        <f t="shared" si="4"/>
        <v>0.03133335729</v>
      </c>
      <c r="I663" s="2" t="str">
        <f t="shared" si="5"/>
        <v>2015-10</v>
      </c>
      <c r="J663" s="2">
        <f t="shared" si="6"/>
        <v>2015</v>
      </c>
      <c r="K663" s="2">
        <f t="shared" si="7"/>
        <v>5</v>
      </c>
      <c r="L663" s="2" t="str">
        <f t="shared" si="8"/>
        <v>Thu</v>
      </c>
    </row>
    <row r="664" ht="15.0" customHeight="1">
      <c r="A664" s="4">
        <v>42300.0</v>
      </c>
      <c r="B664" s="2">
        <v>185771.0</v>
      </c>
      <c r="C664" s="2">
        <v>192527.01</v>
      </c>
      <c r="D664" s="2">
        <v>5042.0</v>
      </c>
      <c r="E664" s="5">
        <f t="shared" si="1"/>
        <v>36.84470448</v>
      </c>
      <c r="F664" s="7">
        <f t="shared" si="2"/>
        <v>-0.03636740934</v>
      </c>
      <c r="G664" s="5">
        <f t="shared" si="3"/>
        <v>-1.33994645</v>
      </c>
      <c r="H664" s="7">
        <f t="shared" si="4"/>
        <v>-0.03636740934</v>
      </c>
      <c r="I664" s="2" t="str">
        <f t="shared" si="5"/>
        <v>2015-10</v>
      </c>
      <c r="J664" s="2">
        <f t="shared" si="6"/>
        <v>2015</v>
      </c>
      <c r="K664" s="2">
        <f t="shared" si="7"/>
        <v>6</v>
      </c>
      <c r="L664" s="2" t="str">
        <f t="shared" si="8"/>
        <v>Fri</v>
      </c>
    </row>
    <row r="665" ht="15.0" customHeight="1">
      <c r="A665" s="4">
        <v>42301.0</v>
      </c>
      <c r="B665" s="2">
        <v>253116.91</v>
      </c>
      <c r="C665" s="2">
        <v>262409.57</v>
      </c>
      <c r="D665" s="2">
        <v>6872.0</v>
      </c>
      <c r="E665" s="5">
        <f t="shared" si="1"/>
        <v>36.83307771</v>
      </c>
      <c r="F665" s="7">
        <f t="shared" si="2"/>
        <v>-0.03671291657</v>
      </c>
      <c r="G665" s="5">
        <f t="shared" si="3"/>
        <v>-1.352249709</v>
      </c>
      <c r="H665" s="7">
        <f t="shared" si="4"/>
        <v>-0.03671291657</v>
      </c>
      <c r="I665" s="2" t="str">
        <f t="shared" si="5"/>
        <v>2015-10</v>
      </c>
      <c r="J665" s="2">
        <f t="shared" si="6"/>
        <v>2015</v>
      </c>
      <c r="K665" s="2">
        <f t="shared" si="7"/>
        <v>7</v>
      </c>
      <c r="L665" s="2" t="str">
        <f t="shared" si="8"/>
        <v>Sat</v>
      </c>
    </row>
    <row r="666" ht="15.0" customHeight="1">
      <c r="A666" s="4">
        <v>42302.0</v>
      </c>
      <c r="B666" s="2">
        <v>118618.45</v>
      </c>
      <c r="C666" s="2">
        <v>122915.27</v>
      </c>
      <c r="D666" s="2">
        <v>3218.0</v>
      </c>
      <c r="E666" s="5">
        <f t="shared" si="1"/>
        <v>36.86092293</v>
      </c>
      <c r="F666" s="7">
        <f t="shared" si="2"/>
        <v>-0.0362238758</v>
      </c>
      <c r="G666" s="5">
        <f t="shared" si="3"/>
        <v>-1.335245494</v>
      </c>
      <c r="H666" s="7">
        <f t="shared" si="4"/>
        <v>-0.0362238758</v>
      </c>
      <c r="I666" s="2" t="str">
        <f t="shared" si="5"/>
        <v>2015-10</v>
      </c>
      <c r="J666" s="2">
        <f t="shared" si="6"/>
        <v>2015</v>
      </c>
      <c r="K666" s="2">
        <f t="shared" si="7"/>
        <v>1</v>
      </c>
      <c r="L666" s="2" t="str">
        <f t="shared" si="8"/>
        <v>Sun</v>
      </c>
    </row>
    <row r="667" ht="15.0" customHeight="1">
      <c r="A667" s="4">
        <v>42303.0</v>
      </c>
      <c r="B667" s="2">
        <v>123320.78</v>
      </c>
      <c r="C667" s="2">
        <v>128133.78</v>
      </c>
      <c r="D667" s="2">
        <v>3347.0</v>
      </c>
      <c r="E667" s="5">
        <f t="shared" si="1"/>
        <v>36.84516881</v>
      </c>
      <c r="F667" s="7">
        <f t="shared" si="2"/>
        <v>-0.03902829677</v>
      </c>
      <c r="G667" s="5">
        <f t="shared" si="3"/>
        <v>-1.438004183</v>
      </c>
      <c r="H667" s="7">
        <f t="shared" si="4"/>
        <v>-0.03902829677</v>
      </c>
      <c r="I667" s="2" t="str">
        <f t="shared" si="5"/>
        <v>2015-10</v>
      </c>
      <c r="J667" s="2">
        <f t="shared" si="6"/>
        <v>2015</v>
      </c>
      <c r="K667" s="2">
        <f t="shared" si="7"/>
        <v>2</v>
      </c>
      <c r="L667" s="2" t="str">
        <f t="shared" si="8"/>
        <v>Mon</v>
      </c>
    </row>
    <row r="668" ht="15.0" customHeight="1">
      <c r="A668" s="4">
        <v>42304.0</v>
      </c>
      <c r="B668" s="2">
        <v>117051.28</v>
      </c>
      <c r="C668" s="2">
        <v>122175.0</v>
      </c>
      <c r="D668" s="2">
        <v>3177.0</v>
      </c>
      <c r="E668" s="5">
        <f t="shared" si="1"/>
        <v>36.84333648</v>
      </c>
      <c r="F668" s="7">
        <f t="shared" si="2"/>
        <v>-0.04377329321</v>
      </c>
      <c r="G668" s="5">
        <f t="shared" si="3"/>
        <v>-1.612754171</v>
      </c>
      <c r="H668" s="7">
        <f t="shared" si="4"/>
        <v>-0.04377329321</v>
      </c>
      <c r="I668" s="2" t="str">
        <f t="shared" si="5"/>
        <v>2015-10</v>
      </c>
      <c r="J668" s="2">
        <f t="shared" si="6"/>
        <v>2015</v>
      </c>
      <c r="K668" s="2">
        <f t="shared" si="7"/>
        <v>3</v>
      </c>
      <c r="L668" s="2" t="str">
        <f t="shared" si="8"/>
        <v>Tue</v>
      </c>
    </row>
    <row r="669" ht="15.0" customHeight="1">
      <c r="A669" s="4">
        <v>42305.0</v>
      </c>
      <c r="B669" s="2">
        <v>159299.99</v>
      </c>
      <c r="C669" s="2">
        <v>174699.08</v>
      </c>
      <c r="D669" s="2">
        <v>4532.0</v>
      </c>
      <c r="E669" s="5">
        <f t="shared" si="1"/>
        <v>35.15004192</v>
      </c>
      <c r="F669" s="7">
        <f t="shared" si="2"/>
        <v>-0.09666723771</v>
      </c>
      <c r="G669" s="5">
        <f t="shared" si="3"/>
        <v>-3.397857458</v>
      </c>
      <c r="H669" s="7">
        <f t="shared" si="4"/>
        <v>-0.09666723771</v>
      </c>
      <c r="I669" s="2" t="str">
        <f t="shared" si="5"/>
        <v>2015-10</v>
      </c>
      <c r="J669" s="2">
        <f t="shared" si="6"/>
        <v>2015</v>
      </c>
      <c r="K669" s="2">
        <f t="shared" si="7"/>
        <v>4</v>
      </c>
      <c r="L669" s="2" t="str">
        <f t="shared" si="8"/>
        <v>Wed</v>
      </c>
    </row>
    <row r="670" ht="15.0" customHeight="1">
      <c r="A670" s="4">
        <v>42306.0</v>
      </c>
      <c r="B670" s="2">
        <v>119047.41</v>
      </c>
      <c r="C670" s="2">
        <v>124349.27</v>
      </c>
      <c r="D670" s="2">
        <v>3231.0</v>
      </c>
      <c r="E670" s="5">
        <f t="shared" si="1"/>
        <v>36.84537604</v>
      </c>
      <c r="F670" s="7">
        <f t="shared" si="2"/>
        <v>-0.0445357022</v>
      </c>
      <c r="G670" s="5">
        <f t="shared" si="3"/>
        <v>-1.640934695</v>
      </c>
      <c r="H670" s="7">
        <f t="shared" si="4"/>
        <v>-0.0445357022</v>
      </c>
      <c r="I670" s="2" t="str">
        <f t="shared" si="5"/>
        <v>2015-10</v>
      </c>
      <c r="J670" s="2">
        <f t="shared" si="6"/>
        <v>2015</v>
      </c>
      <c r="K670" s="2">
        <f t="shared" si="7"/>
        <v>5</v>
      </c>
      <c r="L670" s="2" t="str">
        <f t="shared" si="8"/>
        <v>Thu</v>
      </c>
    </row>
    <row r="671" ht="15.0" customHeight="1">
      <c r="A671" s="4">
        <v>42307.0</v>
      </c>
      <c r="B671" s="2">
        <v>285081.97</v>
      </c>
      <c r="C671" s="2">
        <v>297627.69</v>
      </c>
      <c r="D671" s="2">
        <v>7731.0</v>
      </c>
      <c r="E671" s="5">
        <f t="shared" si="1"/>
        <v>36.87517397</v>
      </c>
      <c r="F671" s="7">
        <f t="shared" si="2"/>
        <v>-0.04400741303</v>
      </c>
      <c r="G671" s="5">
        <f t="shared" si="3"/>
        <v>-1.622781012</v>
      </c>
      <c r="H671" s="7">
        <f t="shared" si="4"/>
        <v>-0.04400741303</v>
      </c>
      <c r="I671" s="2" t="str">
        <f t="shared" si="5"/>
        <v>2015-10</v>
      </c>
      <c r="J671" s="2">
        <f t="shared" si="6"/>
        <v>2015</v>
      </c>
      <c r="K671" s="2">
        <f t="shared" si="7"/>
        <v>6</v>
      </c>
      <c r="L671" s="2" t="str">
        <f t="shared" si="8"/>
        <v>Fri</v>
      </c>
    </row>
    <row r="672" ht="15.0" customHeight="1">
      <c r="A672" s="4">
        <v>42308.0</v>
      </c>
      <c r="B672" s="2">
        <v>391656.21</v>
      </c>
      <c r="C672" s="2">
        <v>429832.83</v>
      </c>
      <c r="D672" s="2">
        <v>11148.0</v>
      </c>
      <c r="E672" s="5">
        <f t="shared" si="1"/>
        <v>35.13241927</v>
      </c>
      <c r="F672" s="7">
        <f t="shared" si="2"/>
        <v>-0.09747482365</v>
      </c>
      <c r="G672" s="5">
        <f t="shared" si="3"/>
        <v>-3.424526372</v>
      </c>
      <c r="H672" s="7">
        <f t="shared" si="4"/>
        <v>-0.09747482365</v>
      </c>
      <c r="I672" s="2" t="str">
        <f t="shared" si="5"/>
        <v>2015-10</v>
      </c>
      <c r="J672" s="2">
        <f t="shared" si="6"/>
        <v>2015</v>
      </c>
      <c r="K672" s="2">
        <f t="shared" si="7"/>
        <v>7</v>
      </c>
      <c r="L672" s="2" t="str">
        <f t="shared" si="8"/>
        <v>Sat</v>
      </c>
    </row>
    <row r="673" ht="15.0" customHeight="1">
      <c r="A673" s="4">
        <v>42309.0</v>
      </c>
      <c r="B673" s="2">
        <v>274814.78</v>
      </c>
      <c r="C673" s="2">
        <v>287978.17</v>
      </c>
      <c r="D673" s="2">
        <v>7459.0</v>
      </c>
      <c r="E673" s="5">
        <f t="shared" si="1"/>
        <v>36.84338115</v>
      </c>
      <c r="F673" s="7">
        <f t="shared" si="2"/>
        <v>-0.0478991341</v>
      </c>
      <c r="G673" s="5">
        <f t="shared" si="3"/>
        <v>-1.764766054</v>
      </c>
      <c r="H673" s="7">
        <f t="shared" si="4"/>
        <v>-0.0478991341</v>
      </c>
      <c r="I673" s="2" t="str">
        <f t="shared" si="5"/>
        <v>2015-11</v>
      </c>
      <c r="J673" s="2">
        <f t="shared" si="6"/>
        <v>2015</v>
      </c>
      <c r="K673" s="2">
        <f t="shared" si="7"/>
        <v>1</v>
      </c>
      <c r="L673" s="2" t="str">
        <f t="shared" si="8"/>
        <v>Sun</v>
      </c>
    </row>
    <row r="674" ht="15.0" customHeight="1">
      <c r="A674" s="4">
        <v>42310.0</v>
      </c>
      <c r="B674" s="2">
        <v>269555.02</v>
      </c>
      <c r="C674" s="2">
        <v>281915.19</v>
      </c>
      <c r="D674" s="2">
        <v>7316.0</v>
      </c>
      <c r="E674" s="5">
        <f t="shared" si="1"/>
        <v>36.84458994</v>
      </c>
      <c r="F674" s="7">
        <f t="shared" si="2"/>
        <v>-0.04585397816</v>
      </c>
      <c r="G674" s="5">
        <f t="shared" si="3"/>
        <v>-1.689471022</v>
      </c>
      <c r="H674" s="7">
        <f t="shared" si="4"/>
        <v>-0.04585397816</v>
      </c>
      <c r="I674" s="2" t="str">
        <f t="shared" si="5"/>
        <v>2015-11</v>
      </c>
      <c r="J674" s="2">
        <f t="shared" si="6"/>
        <v>2015</v>
      </c>
      <c r="K674" s="2">
        <f t="shared" si="7"/>
        <v>2</v>
      </c>
      <c r="L674" s="2" t="str">
        <f t="shared" si="8"/>
        <v>Mon</v>
      </c>
    </row>
    <row r="675" ht="15.0" customHeight="1">
      <c r="A675" s="4">
        <v>42311.0</v>
      </c>
      <c r="B675" s="2">
        <v>192001.03</v>
      </c>
      <c r="C675" s="2">
        <v>201125.78</v>
      </c>
      <c r="D675" s="2">
        <v>5211.0</v>
      </c>
      <c r="E675" s="5">
        <f t="shared" si="1"/>
        <v>36.84533295</v>
      </c>
      <c r="F675" s="7">
        <f t="shared" si="2"/>
        <v>-0.04752448463</v>
      </c>
      <c r="G675" s="5">
        <f t="shared" si="3"/>
        <v>-1.75105546</v>
      </c>
      <c r="H675" s="7">
        <f t="shared" si="4"/>
        <v>-0.04752448463</v>
      </c>
      <c r="I675" s="2" t="str">
        <f t="shared" si="5"/>
        <v>2015-11</v>
      </c>
      <c r="J675" s="2">
        <f t="shared" si="6"/>
        <v>2015</v>
      </c>
      <c r="K675" s="2">
        <f t="shared" si="7"/>
        <v>3</v>
      </c>
      <c r="L675" s="2" t="str">
        <f t="shared" si="8"/>
        <v>Tue</v>
      </c>
    </row>
    <row r="676" ht="15.0" customHeight="1">
      <c r="A676" s="4">
        <v>42312.0</v>
      </c>
      <c r="B676" s="2">
        <v>201367.79</v>
      </c>
      <c r="C676" s="2">
        <v>220580.0</v>
      </c>
      <c r="D676" s="2">
        <v>5731.0</v>
      </c>
      <c r="E676" s="5">
        <f t="shared" si="1"/>
        <v>35.13658873</v>
      </c>
      <c r="F676" s="7">
        <f t="shared" si="2"/>
        <v>-0.09540855566</v>
      </c>
      <c r="G676" s="5">
        <f t="shared" si="3"/>
        <v>-3.352331181</v>
      </c>
      <c r="H676" s="7">
        <f t="shared" si="4"/>
        <v>-0.09540855566</v>
      </c>
      <c r="I676" s="2" t="str">
        <f t="shared" si="5"/>
        <v>2015-11</v>
      </c>
      <c r="J676" s="2">
        <f t="shared" si="6"/>
        <v>2015</v>
      </c>
      <c r="K676" s="2">
        <f t="shared" si="7"/>
        <v>4</v>
      </c>
      <c r="L676" s="2" t="str">
        <f t="shared" si="8"/>
        <v>Wed</v>
      </c>
    </row>
    <row r="677" ht="15.0" customHeight="1">
      <c r="A677" s="4">
        <v>42313.0</v>
      </c>
      <c r="B677" s="2">
        <v>111874.56</v>
      </c>
      <c r="C677" s="2">
        <v>116637.03</v>
      </c>
      <c r="D677" s="2">
        <v>3036.0</v>
      </c>
      <c r="E677" s="5">
        <f t="shared" si="1"/>
        <v>36.84932806</v>
      </c>
      <c r="F677" s="7">
        <f t="shared" si="2"/>
        <v>-0.04256973167</v>
      </c>
      <c r="G677" s="5">
        <f t="shared" si="3"/>
        <v>-1.568666008</v>
      </c>
      <c r="H677" s="7">
        <f t="shared" si="4"/>
        <v>-0.04256973167</v>
      </c>
      <c r="I677" s="2" t="str">
        <f t="shared" si="5"/>
        <v>2015-11</v>
      </c>
      <c r="J677" s="2">
        <f t="shared" si="6"/>
        <v>2015</v>
      </c>
      <c r="K677" s="2">
        <f t="shared" si="7"/>
        <v>5</v>
      </c>
      <c r="L677" s="2" t="str">
        <f t="shared" si="8"/>
        <v>Thu</v>
      </c>
    </row>
    <row r="678" ht="15.0" customHeight="1">
      <c r="A678" s="4">
        <v>42314.0</v>
      </c>
      <c r="B678" s="2">
        <v>214540.33</v>
      </c>
      <c r="C678" s="2">
        <v>223738.43</v>
      </c>
      <c r="D678" s="2">
        <v>5822.0</v>
      </c>
      <c r="E678" s="5">
        <f t="shared" si="1"/>
        <v>36.84993645</v>
      </c>
      <c r="F678" s="7">
        <f t="shared" si="2"/>
        <v>-0.04287352406</v>
      </c>
      <c r="G678" s="5">
        <f t="shared" si="3"/>
        <v>-1.579886637</v>
      </c>
      <c r="H678" s="7">
        <f t="shared" si="4"/>
        <v>-0.04287352406</v>
      </c>
      <c r="I678" s="2" t="str">
        <f t="shared" si="5"/>
        <v>2015-11</v>
      </c>
      <c r="J678" s="2">
        <f t="shared" si="6"/>
        <v>2015</v>
      </c>
      <c r="K678" s="2">
        <f t="shared" si="7"/>
        <v>6</v>
      </c>
      <c r="L678" s="2" t="str">
        <f t="shared" si="8"/>
        <v>Fri</v>
      </c>
    </row>
    <row r="679" ht="15.0" customHeight="1">
      <c r="A679" s="4">
        <v>42315.0</v>
      </c>
      <c r="B679" s="2">
        <v>280264.24</v>
      </c>
      <c r="C679" s="2">
        <v>306935.16</v>
      </c>
      <c r="D679" s="2">
        <v>7987.0</v>
      </c>
      <c r="E679" s="5">
        <f t="shared" si="1"/>
        <v>35.09005133</v>
      </c>
      <c r="F679" s="7">
        <f t="shared" si="2"/>
        <v>-0.09516347858</v>
      </c>
      <c r="G679" s="5">
        <f t="shared" si="3"/>
        <v>-3.339291348</v>
      </c>
      <c r="H679" s="7">
        <f t="shared" si="4"/>
        <v>-0.09516347858</v>
      </c>
      <c r="I679" s="2" t="str">
        <f t="shared" si="5"/>
        <v>2015-11</v>
      </c>
      <c r="J679" s="2">
        <f t="shared" si="6"/>
        <v>2015</v>
      </c>
      <c r="K679" s="2">
        <f t="shared" si="7"/>
        <v>7</v>
      </c>
      <c r="L679" s="2" t="str">
        <f t="shared" si="8"/>
        <v>Sat</v>
      </c>
    </row>
    <row r="680" ht="15.0" customHeight="1">
      <c r="A680" s="4">
        <v>42316.0</v>
      </c>
      <c r="B680" s="2">
        <v>134136.73</v>
      </c>
      <c r="C680" s="2">
        <v>140236.3</v>
      </c>
      <c r="D680" s="2">
        <v>3640.0</v>
      </c>
      <c r="E680" s="5">
        <f t="shared" si="1"/>
        <v>36.85075</v>
      </c>
      <c r="F680" s="7">
        <f t="shared" si="2"/>
        <v>-0.0454727799</v>
      </c>
      <c r="G680" s="5">
        <f t="shared" si="3"/>
        <v>-1.675706044</v>
      </c>
      <c r="H680" s="7">
        <f t="shared" si="4"/>
        <v>-0.0454727799</v>
      </c>
      <c r="I680" s="2" t="str">
        <f t="shared" si="5"/>
        <v>2015-11</v>
      </c>
      <c r="J680" s="2">
        <f t="shared" si="6"/>
        <v>2015</v>
      </c>
      <c r="K680" s="2">
        <f t="shared" si="7"/>
        <v>1</v>
      </c>
      <c r="L680" s="2" t="str">
        <f t="shared" si="8"/>
        <v>Sun</v>
      </c>
    </row>
    <row r="681" ht="15.0" customHeight="1">
      <c r="A681" s="4">
        <v>42317.0</v>
      </c>
      <c r="B681" s="2">
        <v>94243.47</v>
      </c>
      <c r="C681" s="2">
        <v>89949.3</v>
      </c>
      <c r="D681" s="2">
        <v>2338.0</v>
      </c>
      <c r="E681" s="5">
        <f t="shared" si="1"/>
        <v>40.30943969</v>
      </c>
      <c r="F681" s="7">
        <f t="shared" si="2"/>
        <v>0.0455646423</v>
      </c>
      <c r="G681" s="5">
        <f t="shared" si="3"/>
        <v>1.836685201</v>
      </c>
      <c r="H681" s="7">
        <f t="shared" si="4"/>
        <v>0.0455646423</v>
      </c>
      <c r="I681" s="2" t="str">
        <f t="shared" si="5"/>
        <v>2015-11</v>
      </c>
      <c r="J681" s="2">
        <f t="shared" si="6"/>
        <v>2015</v>
      </c>
      <c r="K681" s="2">
        <f t="shared" si="7"/>
        <v>2</v>
      </c>
      <c r="L681" s="2" t="str">
        <f t="shared" si="8"/>
        <v>Mon</v>
      </c>
    </row>
    <row r="682" ht="15.0" customHeight="1">
      <c r="A682" s="4">
        <v>42318.0</v>
      </c>
      <c r="B682" s="2">
        <v>131436.2</v>
      </c>
      <c r="C682" s="2">
        <v>143823.39</v>
      </c>
      <c r="D682" s="2">
        <v>3744.0</v>
      </c>
      <c r="E682" s="5">
        <f t="shared" si="1"/>
        <v>35.10582265</v>
      </c>
      <c r="F682" s="7">
        <f t="shared" si="2"/>
        <v>-0.09424488839</v>
      </c>
      <c r="G682" s="5">
        <f t="shared" si="3"/>
        <v>-3.308544338</v>
      </c>
      <c r="H682" s="7">
        <f t="shared" si="4"/>
        <v>-0.09424488839</v>
      </c>
      <c r="I682" s="2" t="str">
        <f t="shared" si="5"/>
        <v>2015-11</v>
      </c>
      <c r="J682" s="2">
        <f t="shared" si="6"/>
        <v>2015</v>
      </c>
      <c r="K682" s="2">
        <f t="shared" si="7"/>
        <v>3</v>
      </c>
      <c r="L682" s="2" t="str">
        <f t="shared" si="8"/>
        <v>Tue</v>
      </c>
    </row>
    <row r="683" ht="15.0" customHeight="1">
      <c r="A683" s="4">
        <v>42319.0</v>
      </c>
      <c r="B683" s="2">
        <v>147893.94</v>
      </c>
      <c r="C683" s="2">
        <v>161665.6</v>
      </c>
      <c r="D683" s="2">
        <v>4216.0</v>
      </c>
      <c r="E683" s="5">
        <f t="shared" si="1"/>
        <v>35.07920778</v>
      </c>
      <c r="F683" s="7">
        <f t="shared" si="2"/>
        <v>-0.09311848748</v>
      </c>
      <c r="G683" s="5">
        <f t="shared" si="3"/>
        <v>-3.26652277</v>
      </c>
      <c r="H683" s="7">
        <f t="shared" si="4"/>
        <v>-0.09311848748</v>
      </c>
      <c r="I683" s="2" t="str">
        <f t="shared" si="5"/>
        <v>2015-11</v>
      </c>
      <c r="J683" s="2">
        <f t="shared" si="6"/>
        <v>2015</v>
      </c>
      <c r="K683" s="2">
        <f t="shared" si="7"/>
        <v>4</v>
      </c>
      <c r="L683" s="2" t="str">
        <f t="shared" si="8"/>
        <v>Wed</v>
      </c>
    </row>
    <row r="684" ht="15.0" customHeight="1">
      <c r="A684" s="4">
        <v>42320.0</v>
      </c>
      <c r="B684" s="2">
        <v>140238.39</v>
      </c>
      <c r="C684" s="2">
        <v>153481.45</v>
      </c>
      <c r="D684" s="2">
        <v>4000.0</v>
      </c>
      <c r="E684" s="5">
        <f t="shared" si="1"/>
        <v>35.0595975</v>
      </c>
      <c r="F684" s="7">
        <f t="shared" si="2"/>
        <v>-0.09443248742</v>
      </c>
      <c r="G684" s="5">
        <f t="shared" si="3"/>
        <v>-3.310765</v>
      </c>
      <c r="H684" s="7">
        <f t="shared" si="4"/>
        <v>-0.09443248742</v>
      </c>
      <c r="I684" s="2" t="str">
        <f t="shared" si="5"/>
        <v>2015-11</v>
      </c>
      <c r="J684" s="2">
        <f t="shared" si="6"/>
        <v>2015</v>
      </c>
      <c r="K684" s="2">
        <f t="shared" si="7"/>
        <v>5</v>
      </c>
      <c r="L684" s="2" t="str">
        <f t="shared" si="8"/>
        <v>Thu</v>
      </c>
    </row>
    <row r="685" ht="15.0" customHeight="1">
      <c r="A685" s="4">
        <v>42321.0</v>
      </c>
      <c r="B685" s="2">
        <v>358183.77</v>
      </c>
      <c r="C685" s="2">
        <v>391310.32</v>
      </c>
      <c r="D685" s="2">
        <v>10204.0</v>
      </c>
      <c r="E685" s="5">
        <f t="shared" si="1"/>
        <v>35.10229028</v>
      </c>
      <c r="F685" s="7">
        <f t="shared" si="2"/>
        <v>-0.09248478791</v>
      </c>
      <c r="G685" s="5">
        <f t="shared" si="3"/>
        <v>-3.246427871</v>
      </c>
      <c r="H685" s="7">
        <f t="shared" si="4"/>
        <v>-0.09248478791</v>
      </c>
      <c r="I685" s="2" t="str">
        <f t="shared" si="5"/>
        <v>2015-11</v>
      </c>
      <c r="J685" s="2">
        <f t="shared" si="6"/>
        <v>2015</v>
      </c>
      <c r="K685" s="2">
        <f t="shared" si="7"/>
        <v>6</v>
      </c>
      <c r="L685" s="2" t="str">
        <f t="shared" si="8"/>
        <v>Fri</v>
      </c>
    </row>
    <row r="686" ht="15.0" customHeight="1">
      <c r="A686" s="4">
        <v>42322.0</v>
      </c>
      <c r="B686" s="2">
        <v>377937.14</v>
      </c>
      <c r="C686" s="2">
        <v>413010.23</v>
      </c>
      <c r="D686" s="2">
        <v>10769.0</v>
      </c>
      <c r="E686" s="5">
        <f t="shared" si="1"/>
        <v>35.09491503</v>
      </c>
      <c r="F686" s="7">
        <f t="shared" si="2"/>
        <v>-0.09280138491</v>
      </c>
      <c r="G686" s="5">
        <f t="shared" si="3"/>
        <v>-3.256856718</v>
      </c>
      <c r="H686" s="7">
        <f t="shared" si="4"/>
        <v>-0.09280138491</v>
      </c>
      <c r="I686" s="2" t="str">
        <f t="shared" si="5"/>
        <v>2015-11</v>
      </c>
      <c r="J686" s="2">
        <f t="shared" si="6"/>
        <v>2015</v>
      </c>
      <c r="K686" s="2">
        <f t="shared" si="7"/>
        <v>7</v>
      </c>
      <c r="L686" s="2" t="str">
        <f t="shared" si="8"/>
        <v>Sat</v>
      </c>
    </row>
    <row r="687" ht="15.0" customHeight="1">
      <c r="A687" s="4">
        <v>42323.0</v>
      </c>
      <c r="B687" s="2">
        <v>168729.96</v>
      </c>
      <c r="C687" s="2">
        <v>184673.49</v>
      </c>
      <c r="D687" s="2">
        <v>4803.0</v>
      </c>
      <c r="E687" s="5">
        <f t="shared" si="1"/>
        <v>35.13011868</v>
      </c>
      <c r="F687" s="7">
        <f t="shared" si="2"/>
        <v>-0.09449139916</v>
      </c>
      <c r="G687" s="5">
        <f t="shared" si="3"/>
        <v>-3.319494066</v>
      </c>
      <c r="H687" s="7">
        <f t="shared" si="4"/>
        <v>-0.09449139916</v>
      </c>
      <c r="I687" s="2" t="str">
        <f t="shared" si="5"/>
        <v>2015-11</v>
      </c>
      <c r="J687" s="2">
        <f t="shared" si="6"/>
        <v>2015</v>
      </c>
      <c r="K687" s="2">
        <f t="shared" si="7"/>
        <v>1</v>
      </c>
      <c r="L687" s="2" t="str">
        <f t="shared" si="8"/>
        <v>Sun</v>
      </c>
    </row>
    <row r="688" ht="15.0" customHeight="1">
      <c r="A688" s="4">
        <v>42324.0</v>
      </c>
      <c r="B688" s="2">
        <v>177192.57</v>
      </c>
      <c r="C688" s="2">
        <v>193615.3</v>
      </c>
      <c r="D688" s="2">
        <v>5042.0</v>
      </c>
      <c r="E688" s="5">
        <f t="shared" si="1"/>
        <v>35.14331019</v>
      </c>
      <c r="F688" s="7">
        <f t="shared" si="2"/>
        <v>-0.0926829494</v>
      </c>
      <c r="G688" s="5">
        <f t="shared" si="3"/>
        <v>-3.257185641</v>
      </c>
      <c r="H688" s="7">
        <f t="shared" si="4"/>
        <v>-0.0926829494</v>
      </c>
      <c r="I688" s="2" t="str">
        <f t="shared" si="5"/>
        <v>2015-11</v>
      </c>
      <c r="J688" s="2">
        <f t="shared" si="6"/>
        <v>2015</v>
      </c>
      <c r="K688" s="2">
        <f t="shared" si="7"/>
        <v>2</v>
      </c>
      <c r="L688" s="2" t="str">
        <f t="shared" si="8"/>
        <v>Mon</v>
      </c>
    </row>
    <row r="689" ht="15.0" customHeight="1">
      <c r="A689" s="4">
        <v>42325.0</v>
      </c>
      <c r="B689" s="2">
        <v>152368.75</v>
      </c>
      <c r="C689" s="2">
        <v>166625.37</v>
      </c>
      <c r="D689" s="2">
        <v>4342.0</v>
      </c>
      <c r="E689" s="5">
        <f t="shared" si="1"/>
        <v>35.09183556</v>
      </c>
      <c r="F689" s="7">
        <f t="shared" si="2"/>
        <v>-0.09356656138</v>
      </c>
      <c r="G689" s="5">
        <f t="shared" si="3"/>
        <v>-3.283422386</v>
      </c>
      <c r="H689" s="7">
        <f t="shared" si="4"/>
        <v>-0.09356656138</v>
      </c>
      <c r="I689" s="2" t="str">
        <f t="shared" si="5"/>
        <v>2015-11</v>
      </c>
      <c r="J689" s="2">
        <f t="shared" si="6"/>
        <v>2015</v>
      </c>
      <c r="K689" s="2">
        <f t="shared" si="7"/>
        <v>3</v>
      </c>
      <c r="L689" s="2" t="str">
        <f t="shared" si="8"/>
        <v>Tue</v>
      </c>
    </row>
    <row r="690" ht="15.0" customHeight="1">
      <c r="A690" s="4">
        <v>42326.0</v>
      </c>
      <c r="B690" s="2">
        <v>147471.8</v>
      </c>
      <c r="C690" s="2">
        <v>161402.92</v>
      </c>
      <c r="D690" s="2">
        <v>4202.0</v>
      </c>
      <c r="E690" s="5">
        <f t="shared" si="1"/>
        <v>35.09562113</v>
      </c>
      <c r="F690" s="7">
        <f t="shared" si="2"/>
        <v>-0.09446633187</v>
      </c>
      <c r="G690" s="5">
        <f t="shared" si="3"/>
        <v>-3.315354593</v>
      </c>
      <c r="H690" s="7">
        <f t="shared" si="4"/>
        <v>-0.09446633187</v>
      </c>
      <c r="I690" s="2" t="str">
        <f t="shared" si="5"/>
        <v>2015-11</v>
      </c>
      <c r="J690" s="2">
        <f t="shared" si="6"/>
        <v>2015</v>
      </c>
      <c r="K690" s="2">
        <f t="shared" si="7"/>
        <v>4</v>
      </c>
      <c r="L690" s="2" t="str">
        <f t="shared" si="8"/>
        <v>Wed</v>
      </c>
    </row>
    <row r="691" ht="15.0" customHeight="1">
      <c r="A691" s="4">
        <v>42327.0</v>
      </c>
      <c r="B691" s="2">
        <v>145697.15</v>
      </c>
      <c r="C691" s="2">
        <v>159317.61</v>
      </c>
      <c r="D691" s="2">
        <v>4151.0</v>
      </c>
      <c r="E691" s="5">
        <f t="shared" si="1"/>
        <v>35.09928933</v>
      </c>
      <c r="F691" s="7">
        <f t="shared" si="2"/>
        <v>-0.09348473872</v>
      </c>
      <c r="G691" s="5">
        <f t="shared" si="3"/>
        <v>-3.281247892</v>
      </c>
      <c r="H691" s="7">
        <f t="shared" si="4"/>
        <v>-0.09348473872</v>
      </c>
      <c r="I691" s="2" t="str">
        <f t="shared" si="5"/>
        <v>2015-11</v>
      </c>
      <c r="J691" s="2">
        <f t="shared" si="6"/>
        <v>2015</v>
      </c>
      <c r="K691" s="2">
        <f t="shared" si="7"/>
        <v>5</v>
      </c>
      <c r="L691" s="2" t="str">
        <f t="shared" si="8"/>
        <v>Thu</v>
      </c>
    </row>
    <row r="692" ht="15.0" customHeight="1">
      <c r="A692" s="4">
        <v>42328.0</v>
      </c>
      <c r="B692" s="2">
        <v>301033.99</v>
      </c>
      <c r="C692" s="2">
        <v>328965.14</v>
      </c>
      <c r="D692" s="2">
        <v>8567.0</v>
      </c>
      <c r="E692" s="5">
        <f t="shared" si="1"/>
        <v>35.13878721</v>
      </c>
      <c r="F692" s="7">
        <f t="shared" si="2"/>
        <v>-0.09278404077</v>
      </c>
      <c r="G692" s="5">
        <f t="shared" si="3"/>
        <v>-3.260318665</v>
      </c>
      <c r="H692" s="7">
        <f t="shared" si="4"/>
        <v>-0.09278404077</v>
      </c>
      <c r="I692" s="2" t="str">
        <f t="shared" si="5"/>
        <v>2015-11</v>
      </c>
      <c r="J692" s="2">
        <f t="shared" si="6"/>
        <v>2015</v>
      </c>
      <c r="K692" s="2">
        <f t="shared" si="7"/>
        <v>6</v>
      </c>
      <c r="L692" s="2" t="str">
        <f t="shared" si="8"/>
        <v>Fri</v>
      </c>
    </row>
    <row r="693" ht="15.0" customHeight="1">
      <c r="A693" s="4">
        <v>42329.0</v>
      </c>
      <c r="B693" s="2">
        <v>309518.07</v>
      </c>
      <c r="C693" s="2">
        <v>338720.02</v>
      </c>
      <c r="D693" s="2">
        <v>8811.0</v>
      </c>
      <c r="E693" s="5">
        <f t="shared" si="1"/>
        <v>35.12859721</v>
      </c>
      <c r="F693" s="7">
        <f t="shared" si="2"/>
        <v>-0.09434651101</v>
      </c>
      <c r="G693" s="5">
        <f t="shared" si="3"/>
        <v>-3.314260583</v>
      </c>
      <c r="H693" s="7">
        <f t="shared" si="4"/>
        <v>-0.09434651101</v>
      </c>
      <c r="I693" s="2" t="str">
        <f t="shared" si="5"/>
        <v>2015-11</v>
      </c>
      <c r="J693" s="2">
        <f t="shared" si="6"/>
        <v>2015</v>
      </c>
      <c r="K693" s="2">
        <f t="shared" si="7"/>
        <v>7</v>
      </c>
      <c r="L693" s="2" t="str">
        <f t="shared" si="8"/>
        <v>Sat</v>
      </c>
    </row>
    <row r="694" ht="15.0" customHeight="1">
      <c r="A694" s="4">
        <v>42330.0</v>
      </c>
      <c r="B694" s="2">
        <v>152504.63</v>
      </c>
      <c r="C694" s="2">
        <v>167600.65</v>
      </c>
      <c r="D694" s="2">
        <v>4345.0</v>
      </c>
      <c r="E694" s="5">
        <f t="shared" si="1"/>
        <v>35.09887917</v>
      </c>
      <c r="F694" s="7">
        <f t="shared" si="2"/>
        <v>-0.09898728976</v>
      </c>
      <c r="G694" s="5">
        <f t="shared" si="3"/>
        <v>-3.474342923</v>
      </c>
      <c r="H694" s="7">
        <f t="shared" si="4"/>
        <v>-0.09898728976</v>
      </c>
      <c r="I694" s="2" t="str">
        <f t="shared" si="5"/>
        <v>2015-11</v>
      </c>
      <c r="J694" s="2">
        <f t="shared" si="6"/>
        <v>2015</v>
      </c>
      <c r="K694" s="2">
        <f t="shared" si="7"/>
        <v>1</v>
      </c>
      <c r="L694" s="2" t="str">
        <f t="shared" si="8"/>
        <v>Sun</v>
      </c>
    </row>
    <row r="695" ht="15.0" customHeight="1">
      <c r="A695" s="4">
        <v>42331.0</v>
      </c>
      <c r="B695" s="2">
        <v>79711.58</v>
      </c>
      <c r="C695" s="2">
        <v>74375.79</v>
      </c>
      <c r="D695" s="2">
        <v>1937.0</v>
      </c>
      <c r="E695" s="5">
        <f t="shared" si="1"/>
        <v>41.15208054</v>
      </c>
      <c r="F695" s="7">
        <f t="shared" si="2"/>
        <v>0.06693870577</v>
      </c>
      <c r="G695" s="5">
        <f t="shared" si="3"/>
        <v>2.754667011</v>
      </c>
      <c r="H695" s="7">
        <f t="shared" si="4"/>
        <v>0.06693870577</v>
      </c>
      <c r="I695" s="2" t="str">
        <f t="shared" si="5"/>
        <v>2015-11</v>
      </c>
      <c r="J695" s="2">
        <f t="shared" si="6"/>
        <v>2015</v>
      </c>
      <c r="K695" s="2">
        <f t="shared" si="7"/>
        <v>2</v>
      </c>
      <c r="L695" s="2" t="str">
        <f t="shared" si="8"/>
        <v>Mon</v>
      </c>
    </row>
    <row r="696" ht="15.0" customHeight="1">
      <c r="A696" s="4">
        <v>42332.0</v>
      </c>
      <c r="B696" s="2">
        <v>111021.38</v>
      </c>
      <c r="C696" s="2">
        <v>121456.52</v>
      </c>
      <c r="D696" s="2">
        <v>3160.0</v>
      </c>
      <c r="E696" s="5">
        <f t="shared" si="1"/>
        <v>35.1333481</v>
      </c>
      <c r="F696" s="7">
        <f t="shared" si="2"/>
        <v>-0.09399216619</v>
      </c>
      <c r="G696" s="5">
        <f t="shared" si="3"/>
        <v>-3.302259494</v>
      </c>
      <c r="H696" s="7">
        <f t="shared" si="4"/>
        <v>-0.09399216619</v>
      </c>
      <c r="I696" s="2" t="str">
        <f t="shared" si="5"/>
        <v>2015-11</v>
      </c>
      <c r="J696" s="2">
        <f t="shared" si="6"/>
        <v>2015</v>
      </c>
      <c r="K696" s="2">
        <f t="shared" si="7"/>
        <v>3</v>
      </c>
      <c r="L696" s="2" t="str">
        <f t="shared" si="8"/>
        <v>Tue</v>
      </c>
    </row>
    <row r="697" ht="15.0" customHeight="1">
      <c r="A697" s="4">
        <v>42333.0</v>
      </c>
      <c r="B697" s="2">
        <v>243161.26</v>
      </c>
      <c r="C697" s="2">
        <v>266054.37</v>
      </c>
      <c r="D697" s="2">
        <v>6924.0</v>
      </c>
      <c r="E697" s="5">
        <f t="shared" si="1"/>
        <v>35.11861063</v>
      </c>
      <c r="F697" s="7">
        <f t="shared" si="2"/>
        <v>-0.09414785069</v>
      </c>
      <c r="G697" s="5">
        <f t="shared" si="3"/>
        <v>-3.30634171</v>
      </c>
      <c r="H697" s="7">
        <f t="shared" si="4"/>
        <v>-0.09414785069</v>
      </c>
      <c r="I697" s="2" t="str">
        <f t="shared" si="5"/>
        <v>2015-11</v>
      </c>
      <c r="J697" s="2">
        <f t="shared" si="6"/>
        <v>2015</v>
      </c>
      <c r="K697" s="2">
        <f t="shared" si="7"/>
        <v>4</v>
      </c>
      <c r="L697" s="2" t="str">
        <f t="shared" si="8"/>
        <v>Wed</v>
      </c>
    </row>
    <row r="698" ht="15.0" customHeight="1">
      <c r="A698" s="4">
        <v>42334.0</v>
      </c>
      <c r="B698" s="2">
        <v>311443.18</v>
      </c>
      <c r="C698" s="2">
        <v>355343.87</v>
      </c>
      <c r="D698" s="2">
        <v>9273.0</v>
      </c>
      <c r="E698" s="5">
        <f t="shared" si="1"/>
        <v>33.58602178</v>
      </c>
      <c r="F698" s="7">
        <f t="shared" si="2"/>
        <v>-0.1409589062</v>
      </c>
      <c r="G698" s="5">
        <f t="shared" si="3"/>
        <v>-4.734248895</v>
      </c>
      <c r="H698" s="7">
        <f t="shared" si="4"/>
        <v>-0.1409589062</v>
      </c>
      <c r="I698" s="2" t="str">
        <f t="shared" si="5"/>
        <v>2015-11</v>
      </c>
      <c r="J698" s="2">
        <f t="shared" si="6"/>
        <v>2015</v>
      </c>
      <c r="K698" s="2">
        <f t="shared" si="7"/>
        <v>5</v>
      </c>
      <c r="L698" s="2" t="str">
        <f t="shared" si="8"/>
        <v>Thu</v>
      </c>
    </row>
    <row r="699" ht="15.0" customHeight="1">
      <c r="A699" s="4">
        <v>42335.0</v>
      </c>
      <c r="B699" s="2">
        <v>375876.01</v>
      </c>
      <c r="C699" s="2">
        <v>431325.69</v>
      </c>
      <c r="D699" s="2">
        <v>11257.0</v>
      </c>
      <c r="E699" s="5">
        <f t="shared" si="1"/>
        <v>33.39042462</v>
      </c>
      <c r="F699" s="7">
        <f t="shared" si="2"/>
        <v>-0.1475211999</v>
      </c>
      <c r="G699" s="5">
        <f t="shared" si="3"/>
        <v>-4.925795505</v>
      </c>
      <c r="H699" s="7">
        <f t="shared" si="4"/>
        <v>-0.1475211999</v>
      </c>
      <c r="I699" s="2" t="str">
        <f t="shared" si="5"/>
        <v>2015-11</v>
      </c>
      <c r="J699" s="2">
        <f t="shared" si="6"/>
        <v>2015</v>
      </c>
      <c r="K699" s="2">
        <f t="shared" si="7"/>
        <v>6</v>
      </c>
      <c r="L699" s="2" t="str">
        <f t="shared" si="8"/>
        <v>Fri</v>
      </c>
    </row>
    <row r="700" ht="15.0" customHeight="1">
      <c r="A700" s="4">
        <v>42336.0</v>
      </c>
      <c r="B700" s="2">
        <v>434639.66</v>
      </c>
      <c r="C700" s="2">
        <v>498895.62</v>
      </c>
      <c r="D700" s="2">
        <v>13019.0</v>
      </c>
      <c r="E700" s="5">
        <f t="shared" si="1"/>
        <v>33.3850265</v>
      </c>
      <c r="F700" s="7">
        <f t="shared" si="2"/>
        <v>-0.1478373142</v>
      </c>
      <c r="G700" s="5">
        <f t="shared" si="3"/>
        <v>-4.935552654</v>
      </c>
      <c r="H700" s="7">
        <f t="shared" si="4"/>
        <v>-0.1478373142</v>
      </c>
      <c r="I700" s="2" t="str">
        <f t="shared" si="5"/>
        <v>2015-11</v>
      </c>
      <c r="J700" s="2">
        <f t="shared" si="6"/>
        <v>2015</v>
      </c>
      <c r="K700" s="2">
        <f t="shared" si="7"/>
        <v>7</v>
      </c>
      <c r="L700" s="2" t="str">
        <f t="shared" si="8"/>
        <v>Sat</v>
      </c>
    </row>
    <row r="701" ht="15.0" customHeight="1">
      <c r="A701" s="4">
        <v>42337.0</v>
      </c>
      <c r="B701" s="2">
        <v>238637.82</v>
      </c>
      <c r="C701" s="2">
        <v>274093.58</v>
      </c>
      <c r="D701" s="2">
        <v>7139.0</v>
      </c>
      <c r="E701" s="5">
        <f t="shared" si="1"/>
        <v>33.42734557</v>
      </c>
      <c r="F701" s="7">
        <f t="shared" si="2"/>
        <v>-0.1485756114</v>
      </c>
      <c r="G701" s="5">
        <f t="shared" si="3"/>
        <v>-4.966488304</v>
      </c>
      <c r="H701" s="7">
        <f t="shared" si="4"/>
        <v>-0.1485756114</v>
      </c>
      <c r="I701" s="2" t="str">
        <f t="shared" si="5"/>
        <v>2015-11</v>
      </c>
      <c r="J701" s="2">
        <f t="shared" si="6"/>
        <v>2015</v>
      </c>
      <c r="K701" s="2">
        <f t="shared" si="7"/>
        <v>1</v>
      </c>
      <c r="L701" s="2" t="str">
        <f t="shared" si="8"/>
        <v>Sun</v>
      </c>
    </row>
    <row r="702" ht="15.0" customHeight="1">
      <c r="A702" s="4">
        <v>42338.0</v>
      </c>
      <c r="B702" s="2">
        <v>260653.67</v>
      </c>
      <c r="C702" s="2">
        <v>283981.15</v>
      </c>
      <c r="D702" s="2">
        <v>7423.0</v>
      </c>
      <c r="E702" s="5">
        <f t="shared" si="1"/>
        <v>35.11432979</v>
      </c>
      <c r="F702" s="7">
        <f t="shared" si="2"/>
        <v>-0.08949607347</v>
      </c>
      <c r="G702" s="5">
        <f t="shared" si="3"/>
        <v>-3.142594638</v>
      </c>
      <c r="H702" s="7">
        <f t="shared" si="4"/>
        <v>-0.08949607347</v>
      </c>
      <c r="I702" s="2" t="str">
        <f t="shared" si="5"/>
        <v>2015-11</v>
      </c>
      <c r="J702" s="2">
        <f t="shared" si="6"/>
        <v>2015</v>
      </c>
      <c r="K702" s="2">
        <f t="shared" si="7"/>
        <v>2</v>
      </c>
      <c r="L702" s="2" t="str">
        <f t="shared" si="8"/>
        <v>Mon</v>
      </c>
    </row>
    <row r="703" ht="15.0" customHeight="1">
      <c r="A703" s="4">
        <v>42339.0</v>
      </c>
      <c r="B703" s="2">
        <v>262394.78</v>
      </c>
      <c r="C703" s="2">
        <v>285838.56</v>
      </c>
      <c r="D703" s="2">
        <v>7474.0</v>
      </c>
      <c r="E703" s="5">
        <f t="shared" si="1"/>
        <v>35.10767728</v>
      </c>
      <c r="F703" s="7">
        <f t="shared" si="2"/>
        <v>-0.08934545116</v>
      </c>
      <c r="G703" s="5">
        <f t="shared" si="3"/>
        <v>-3.136711266</v>
      </c>
      <c r="H703" s="7">
        <f t="shared" si="4"/>
        <v>-0.08934545116</v>
      </c>
      <c r="I703" s="2" t="str">
        <f t="shared" si="5"/>
        <v>2015-12</v>
      </c>
      <c r="J703" s="2">
        <f t="shared" si="6"/>
        <v>2015</v>
      </c>
      <c r="K703" s="2">
        <f t="shared" si="7"/>
        <v>3</v>
      </c>
      <c r="L703" s="2" t="str">
        <f t="shared" si="8"/>
        <v>Tue</v>
      </c>
    </row>
    <row r="704" ht="15.0" customHeight="1">
      <c r="A704" s="4">
        <v>42340.0</v>
      </c>
      <c r="B704" s="2">
        <v>248437.71</v>
      </c>
      <c r="C704" s="2">
        <v>269807.62</v>
      </c>
      <c r="D704" s="2">
        <v>7056.0</v>
      </c>
      <c r="E704" s="5">
        <f t="shared" si="1"/>
        <v>35.20942602</v>
      </c>
      <c r="F704" s="7">
        <f t="shared" si="2"/>
        <v>-0.08601717509</v>
      </c>
      <c r="G704" s="5">
        <f t="shared" si="3"/>
        <v>-3.028615363</v>
      </c>
      <c r="H704" s="7">
        <f t="shared" si="4"/>
        <v>-0.08601717509</v>
      </c>
      <c r="I704" s="2" t="str">
        <f t="shared" si="5"/>
        <v>2015-12</v>
      </c>
      <c r="J704" s="2">
        <f t="shared" si="6"/>
        <v>2015</v>
      </c>
      <c r="K704" s="2">
        <f t="shared" si="7"/>
        <v>4</v>
      </c>
      <c r="L704" s="2" t="str">
        <f t="shared" si="8"/>
        <v>Wed</v>
      </c>
    </row>
    <row r="705" ht="15.0" customHeight="1">
      <c r="A705" s="4">
        <v>42341.0</v>
      </c>
      <c r="B705" s="2">
        <v>201048.83</v>
      </c>
      <c r="C705" s="2">
        <v>219110.39</v>
      </c>
      <c r="D705" s="2">
        <v>5732.0</v>
      </c>
      <c r="E705" s="5">
        <f t="shared" si="1"/>
        <v>35.07481333</v>
      </c>
      <c r="F705" s="7">
        <f t="shared" si="2"/>
        <v>-0.08983668296</v>
      </c>
      <c r="G705" s="5">
        <f t="shared" si="3"/>
        <v>-3.151004885</v>
      </c>
      <c r="H705" s="7">
        <f t="shared" si="4"/>
        <v>-0.08983668296</v>
      </c>
      <c r="I705" s="2" t="str">
        <f t="shared" si="5"/>
        <v>2015-12</v>
      </c>
      <c r="J705" s="2">
        <f t="shared" si="6"/>
        <v>2015</v>
      </c>
      <c r="K705" s="2">
        <f t="shared" si="7"/>
        <v>5</v>
      </c>
      <c r="L705" s="2" t="str">
        <f t="shared" si="8"/>
        <v>Thu</v>
      </c>
    </row>
    <row r="706" ht="15.0" customHeight="1">
      <c r="A706" s="4">
        <v>42342.0</v>
      </c>
      <c r="B706" s="2">
        <v>317690.76</v>
      </c>
      <c r="C706" s="2">
        <v>345449.53</v>
      </c>
      <c r="D706" s="2">
        <v>9038.0</v>
      </c>
      <c r="E706" s="5">
        <f t="shared" si="1"/>
        <v>35.15055986</v>
      </c>
      <c r="F706" s="7">
        <f t="shared" si="2"/>
        <v>-0.08737669928</v>
      </c>
      <c r="G706" s="5">
        <f t="shared" si="3"/>
        <v>-3.071339898</v>
      </c>
      <c r="H706" s="7">
        <f t="shared" si="4"/>
        <v>-0.08737669928</v>
      </c>
      <c r="I706" s="2" t="str">
        <f t="shared" si="5"/>
        <v>2015-12</v>
      </c>
      <c r="J706" s="2">
        <f t="shared" si="6"/>
        <v>2015</v>
      </c>
      <c r="K706" s="2">
        <f t="shared" si="7"/>
        <v>6</v>
      </c>
      <c r="L706" s="2" t="str">
        <f t="shared" si="8"/>
        <v>Fri</v>
      </c>
    </row>
    <row r="707" ht="15.0" customHeight="1">
      <c r="A707" s="4">
        <v>42343.0</v>
      </c>
      <c r="B707" s="2">
        <v>378527.87</v>
      </c>
      <c r="C707" s="2">
        <v>410385.04</v>
      </c>
      <c r="D707" s="2">
        <v>10737.0</v>
      </c>
      <c r="E707" s="5">
        <f t="shared" si="1"/>
        <v>35.25452827</v>
      </c>
      <c r="F707" s="7">
        <f t="shared" si="2"/>
        <v>-0.08416069866</v>
      </c>
      <c r="G707" s="5">
        <f t="shared" si="3"/>
        <v>-2.96704573</v>
      </c>
      <c r="H707" s="7">
        <f t="shared" si="4"/>
        <v>-0.08416069866</v>
      </c>
      <c r="I707" s="2" t="str">
        <f t="shared" si="5"/>
        <v>2015-12</v>
      </c>
      <c r="J707" s="2">
        <f t="shared" si="6"/>
        <v>2015</v>
      </c>
      <c r="K707" s="2">
        <f t="shared" si="7"/>
        <v>7</v>
      </c>
      <c r="L707" s="2" t="str">
        <f t="shared" si="8"/>
        <v>Sat</v>
      </c>
    </row>
    <row r="708" ht="15.0" customHeight="1">
      <c r="A708" s="4">
        <v>42344.0</v>
      </c>
      <c r="B708" s="2">
        <v>195425.39</v>
      </c>
      <c r="C708" s="2">
        <v>210461.39</v>
      </c>
      <c r="D708" s="2">
        <v>5505.0</v>
      </c>
      <c r="E708" s="5">
        <f t="shared" si="1"/>
        <v>35.49961671</v>
      </c>
      <c r="F708" s="7">
        <f t="shared" si="2"/>
        <v>-0.07693984901</v>
      </c>
      <c r="G708" s="5">
        <f t="shared" si="3"/>
        <v>-2.73133515</v>
      </c>
      <c r="H708" s="7">
        <f t="shared" si="4"/>
        <v>-0.07693984901</v>
      </c>
      <c r="I708" s="2" t="str">
        <f t="shared" si="5"/>
        <v>2015-12</v>
      </c>
      <c r="J708" s="2">
        <f t="shared" si="6"/>
        <v>2015</v>
      </c>
      <c r="K708" s="2">
        <f t="shared" si="7"/>
        <v>1</v>
      </c>
      <c r="L708" s="2" t="str">
        <f t="shared" si="8"/>
        <v>Sun</v>
      </c>
    </row>
    <row r="709" ht="15.0" customHeight="1">
      <c r="A709" s="4">
        <v>42345.0</v>
      </c>
      <c r="B709" s="2">
        <v>90441.6</v>
      </c>
      <c r="C709" s="2">
        <v>83999.59</v>
      </c>
      <c r="D709" s="2">
        <v>2198.0</v>
      </c>
      <c r="E709" s="5">
        <f t="shared" si="1"/>
        <v>41.14722475</v>
      </c>
      <c r="F709" s="7">
        <f t="shared" si="2"/>
        <v>0.0712283949</v>
      </c>
      <c r="G709" s="5">
        <f t="shared" si="3"/>
        <v>2.930850773</v>
      </c>
      <c r="H709" s="7">
        <f t="shared" si="4"/>
        <v>0.0712283949</v>
      </c>
      <c r="I709" s="2" t="str">
        <f t="shared" si="5"/>
        <v>2015-12</v>
      </c>
      <c r="J709" s="2">
        <f t="shared" si="6"/>
        <v>2015</v>
      </c>
      <c r="K709" s="2">
        <f t="shared" si="7"/>
        <v>2</v>
      </c>
      <c r="L709" s="2" t="str">
        <f t="shared" si="8"/>
        <v>Mon</v>
      </c>
    </row>
    <row r="710" ht="15.0" customHeight="1">
      <c r="A710" s="4">
        <v>42346.0</v>
      </c>
      <c r="B710" s="2">
        <v>117649.0</v>
      </c>
      <c r="C710" s="2">
        <v>121640.38</v>
      </c>
      <c r="D710" s="2">
        <v>3190.0</v>
      </c>
      <c r="E710" s="5">
        <f t="shared" si="1"/>
        <v>36.88056426</v>
      </c>
      <c r="F710" s="7">
        <f t="shared" si="2"/>
        <v>-0.03392617022</v>
      </c>
      <c r="G710" s="5">
        <f t="shared" si="3"/>
        <v>-1.251216301</v>
      </c>
      <c r="H710" s="7">
        <f t="shared" si="4"/>
        <v>-0.03392617022</v>
      </c>
      <c r="I710" s="2" t="str">
        <f t="shared" si="5"/>
        <v>2015-12</v>
      </c>
      <c r="J710" s="2">
        <f t="shared" si="6"/>
        <v>2015</v>
      </c>
      <c r="K710" s="2">
        <f t="shared" si="7"/>
        <v>3</v>
      </c>
      <c r="L710" s="2" t="str">
        <f t="shared" si="8"/>
        <v>Tue</v>
      </c>
    </row>
    <row r="711" ht="15.0" customHeight="1">
      <c r="A711" s="4">
        <v>42347.0</v>
      </c>
      <c r="B711" s="2">
        <v>141285.4</v>
      </c>
      <c r="C711" s="2">
        <v>145443.05</v>
      </c>
      <c r="D711" s="2">
        <v>3814.0</v>
      </c>
      <c r="E711" s="5">
        <f t="shared" si="1"/>
        <v>37.04389093</v>
      </c>
      <c r="F711" s="7">
        <f t="shared" si="2"/>
        <v>-0.02942731521</v>
      </c>
      <c r="G711" s="5">
        <f t="shared" si="3"/>
        <v>-1.090102255</v>
      </c>
      <c r="H711" s="7">
        <f t="shared" si="4"/>
        <v>-0.02942731521</v>
      </c>
      <c r="I711" s="2" t="str">
        <f t="shared" si="5"/>
        <v>2015-12</v>
      </c>
      <c r="J711" s="2">
        <f t="shared" si="6"/>
        <v>2015</v>
      </c>
      <c r="K711" s="2">
        <f t="shared" si="7"/>
        <v>4</v>
      </c>
      <c r="L711" s="2" t="str">
        <f t="shared" si="8"/>
        <v>Wed</v>
      </c>
    </row>
    <row r="712" ht="15.0" customHeight="1">
      <c r="A712" s="4">
        <v>42348.0</v>
      </c>
      <c r="B712" s="2">
        <v>133183.69</v>
      </c>
      <c r="C712" s="2">
        <v>137725.88</v>
      </c>
      <c r="D712" s="2">
        <v>3610.0</v>
      </c>
      <c r="E712" s="5">
        <f t="shared" si="1"/>
        <v>36.89298892</v>
      </c>
      <c r="F712" s="7">
        <f t="shared" si="2"/>
        <v>-0.03410470156</v>
      </c>
      <c r="G712" s="5">
        <f t="shared" si="3"/>
        <v>-1.258224377</v>
      </c>
      <c r="H712" s="7">
        <f t="shared" si="4"/>
        <v>-0.03410470156</v>
      </c>
      <c r="I712" s="2" t="str">
        <f t="shared" si="5"/>
        <v>2015-12</v>
      </c>
      <c r="J712" s="2">
        <f t="shared" si="6"/>
        <v>2015</v>
      </c>
      <c r="K712" s="2">
        <f t="shared" si="7"/>
        <v>5</v>
      </c>
      <c r="L712" s="2" t="str">
        <f t="shared" si="8"/>
        <v>Thu</v>
      </c>
    </row>
    <row r="713" ht="15.0" customHeight="1">
      <c r="A713" s="4">
        <v>42349.0</v>
      </c>
      <c r="B713" s="2">
        <v>229672.26</v>
      </c>
      <c r="C713" s="2">
        <v>237672.02</v>
      </c>
      <c r="D713" s="2">
        <v>6227.0</v>
      </c>
      <c r="E713" s="5">
        <f t="shared" si="1"/>
        <v>36.88329211</v>
      </c>
      <c r="F713" s="7">
        <f t="shared" si="2"/>
        <v>-0.03483119816</v>
      </c>
      <c r="G713" s="5">
        <f t="shared" si="3"/>
        <v>-1.284689256</v>
      </c>
      <c r="H713" s="7">
        <f t="shared" si="4"/>
        <v>-0.03483119816</v>
      </c>
      <c r="I713" s="2" t="str">
        <f t="shared" si="5"/>
        <v>2015-12</v>
      </c>
      <c r="J713" s="2">
        <f t="shared" si="6"/>
        <v>2015</v>
      </c>
      <c r="K713" s="2">
        <f t="shared" si="7"/>
        <v>6</v>
      </c>
      <c r="L713" s="2" t="str">
        <f t="shared" si="8"/>
        <v>Fri</v>
      </c>
    </row>
    <row r="714" ht="15.0" customHeight="1">
      <c r="A714" s="4">
        <v>42350.0</v>
      </c>
      <c r="B714" s="2">
        <v>333488.8</v>
      </c>
      <c r="C714" s="2">
        <v>359621.07</v>
      </c>
      <c r="D714" s="2">
        <v>9422.0</v>
      </c>
      <c r="E714" s="5">
        <f t="shared" si="1"/>
        <v>35.39469327</v>
      </c>
      <c r="F714" s="7">
        <f t="shared" si="2"/>
        <v>-0.07836026277</v>
      </c>
      <c r="G714" s="5">
        <f t="shared" si="3"/>
        <v>-2.773537466</v>
      </c>
      <c r="H714" s="7">
        <f t="shared" si="4"/>
        <v>-0.07836026277</v>
      </c>
      <c r="I714" s="2" t="str">
        <f t="shared" si="5"/>
        <v>2015-12</v>
      </c>
      <c r="J714" s="2">
        <f t="shared" si="6"/>
        <v>2015</v>
      </c>
      <c r="K714" s="2">
        <f t="shared" si="7"/>
        <v>7</v>
      </c>
      <c r="L714" s="2" t="str">
        <f t="shared" si="8"/>
        <v>Sat</v>
      </c>
    </row>
    <row r="715" ht="15.0" customHeight="1">
      <c r="A715" s="4">
        <v>42351.0</v>
      </c>
      <c r="B715" s="2">
        <v>185422.89</v>
      </c>
      <c r="C715" s="2">
        <v>191390.4</v>
      </c>
      <c r="D715" s="2">
        <v>5014.0</v>
      </c>
      <c r="E715" s="5">
        <f t="shared" si="1"/>
        <v>36.98103111</v>
      </c>
      <c r="F715" s="7">
        <f t="shared" si="2"/>
        <v>-0.0321832434</v>
      </c>
      <c r="G715" s="5">
        <f t="shared" si="3"/>
        <v>-1.190169525</v>
      </c>
      <c r="H715" s="7">
        <f t="shared" si="4"/>
        <v>-0.0321832434</v>
      </c>
      <c r="I715" s="2" t="str">
        <f t="shared" si="5"/>
        <v>2015-12</v>
      </c>
      <c r="J715" s="2">
        <f t="shared" si="6"/>
        <v>2015</v>
      </c>
      <c r="K715" s="2">
        <f t="shared" si="7"/>
        <v>1</v>
      </c>
      <c r="L715" s="2" t="str">
        <f t="shared" si="8"/>
        <v>Sun</v>
      </c>
    </row>
    <row r="716" ht="15.0" customHeight="1">
      <c r="A716" s="4">
        <v>42352.0</v>
      </c>
      <c r="B716" s="2">
        <v>173833.13</v>
      </c>
      <c r="C716" s="2">
        <v>179871.05</v>
      </c>
      <c r="D716" s="2">
        <v>4715.0</v>
      </c>
      <c r="E716" s="5">
        <f t="shared" si="1"/>
        <v>36.86810817</v>
      </c>
      <c r="F716" s="7">
        <f t="shared" si="2"/>
        <v>-0.03473400036</v>
      </c>
      <c r="G716" s="5">
        <f t="shared" si="3"/>
        <v>-1.280576882</v>
      </c>
      <c r="H716" s="7">
        <f t="shared" si="4"/>
        <v>-0.03473400036</v>
      </c>
      <c r="I716" s="2" t="str">
        <f t="shared" si="5"/>
        <v>2015-12</v>
      </c>
      <c r="J716" s="2">
        <f t="shared" si="6"/>
        <v>2015</v>
      </c>
      <c r="K716" s="2">
        <f t="shared" si="7"/>
        <v>2</v>
      </c>
      <c r="L716" s="2" t="str">
        <f t="shared" si="8"/>
        <v>Mon</v>
      </c>
    </row>
    <row r="717" ht="15.0" customHeight="1">
      <c r="A717" s="4">
        <v>42353.0</v>
      </c>
      <c r="B717" s="2">
        <v>220271.72</v>
      </c>
      <c r="C717" s="2">
        <v>237123.34</v>
      </c>
      <c r="D717" s="2">
        <v>6212.0</v>
      </c>
      <c r="E717" s="5">
        <f t="shared" si="1"/>
        <v>35.45906632</v>
      </c>
      <c r="F717" s="7">
        <f t="shared" si="2"/>
        <v>-0.0765037836</v>
      </c>
      <c r="G717" s="5">
        <f t="shared" si="3"/>
        <v>-2.712752737</v>
      </c>
      <c r="H717" s="7">
        <f t="shared" si="4"/>
        <v>-0.0765037836</v>
      </c>
      <c r="I717" s="2" t="str">
        <f t="shared" si="5"/>
        <v>2015-12</v>
      </c>
      <c r="J717" s="2">
        <f t="shared" si="6"/>
        <v>2015</v>
      </c>
      <c r="K717" s="2">
        <f t="shared" si="7"/>
        <v>3</v>
      </c>
      <c r="L717" s="2" t="str">
        <f t="shared" si="8"/>
        <v>Tue</v>
      </c>
    </row>
    <row r="718" ht="15.0" customHeight="1">
      <c r="A718" s="4">
        <v>42354.0</v>
      </c>
      <c r="B718" s="2">
        <v>234468.07</v>
      </c>
      <c r="C718" s="2">
        <v>251493.91</v>
      </c>
      <c r="D718" s="2">
        <v>6585.0</v>
      </c>
      <c r="E718" s="5">
        <f t="shared" si="1"/>
        <v>35.60638876</v>
      </c>
      <c r="F718" s="7">
        <f t="shared" si="2"/>
        <v>-0.07261474878</v>
      </c>
      <c r="G718" s="5">
        <f t="shared" si="3"/>
        <v>-2.585548975</v>
      </c>
      <c r="H718" s="7">
        <f t="shared" si="4"/>
        <v>-0.07261474878</v>
      </c>
      <c r="I718" s="2" t="str">
        <f t="shared" si="5"/>
        <v>2015-12</v>
      </c>
      <c r="J718" s="2">
        <f t="shared" si="6"/>
        <v>2015</v>
      </c>
      <c r="K718" s="2">
        <f t="shared" si="7"/>
        <v>4</v>
      </c>
      <c r="L718" s="2" t="str">
        <f t="shared" si="8"/>
        <v>Wed</v>
      </c>
    </row>
    <row r="719" ht="15.0" customHeight="1">
      <c r="A719" s="4">
        <v>42355.0</v>
      </c>
      <c r="B719" s="2">
        <v>213778.14</v>
      </c>
      <c r="C719" s="2">
        <v>230994.36</v>
      </c>
      <c r="D719" s="2">
        <v>6051.0</v>
      </c>
      <c r="E719" s="5">
        <f t="shared" si="1"/>
        <v>35.32939018</v>
      </c>
      <c r="F719" s="7">
        <f t="shared" si="2"/>
        <v>-0.08053311718</v>
      </c>
      <c r="G719" s="5">
        <f t="shared" si="3"/>
        <v>-2.84518592</v>
      </c>
      <c r="H719" s="7">
        <f t="shared" si="4"/>
        <v>-0.08053311718</v>
      </c>
      <c r="I719" s="2" t="str">
        <f t="shared" si="5"/>
        <v>2015-12</v>
      </c>
      <c r="J719" s="2">
        <f t="shared" si="6"/>
        <v>2015</v>
      </c>
      <c r="K719" s="2">
        <f t="shared" si="7"/>
        <v>5</v>
      </c>
      <c r="L719" s="2" t="str">
        <f t="shared" si="8"/>
        <v>Thu</v>
      </c>
    </row>
    <row r="720" ht="15.0" customHeight="1">
      <c r="A720" s="4">
        <v>42356.0</v>
      </c>
      <c r="B720" s="2">
        <v>273563.01</v>
      </c>
      <c r="C720" s="2">
        <v>295854.55</v>
      </c>
      <c r="D720" s="2">
        <v>7750.0</v>
      </c>
      <c r="E720" s="5">
        <f t="shared" si="1"/>
        <v>35.2984529</v>
      </c>
      <c r="F720" s="7">
        <f t="shared" si="2"/>
        <v>-0.08148594359</v>
      </c>
      <c r="G720" s="5">
        <f t="shared" si="3"/>
        <v>-2.876327742</v>
      </c>
      <c r="H720" s="7">
        <f t="shared" si="4"/>
        <v>-0.08148594359</v>
      </c>
      <c r="I720" s="2" t="str">
        <f t="shared" si="5"/>
        <v>2015-12</v>
      </c>
      <c r="J720" s="2">
        <f t="shared" si="6"/>
        <v>2015</v>
      </c>
      <c r="K720" s="2">
        <f t="shared" si="7"/>
        <v>6</v>
      </c>
      <c r="L720" s="2" t="str">
        <f t="shared" si="8"/>
        <v>Fri</v>
      </c>
    </row>
    <row r="721" ht="15.0" customHeight="1">
      <c r="A721" s="4">
        <v>42357.0</v>
      </c>
      <c r="B721" s="2">
        <v>337506.79</v>
      </c>
      <c r="C721" s="2">
        <v>362223.16</v>
      </c>
      <c r="D721" s="2">
        <v>9490.0</v>
      </c>
      <c r="E721" s="5">
        <f t="shared" si="1"/>
        <v>35.56446681</v>
      </c>
      <c r="F721" s="7">
        <f t="shared" si="2"/>
        <v>-0.07323221557</v>
      </c>
      <c r="G721" s="5">
        <f t="shared" si="3"/>
        <v>-2.6044647</v>
      </c>
      <c r="H721" s="7">
        <f t="shared" si="4"/>
        <v>-0.07323221557</v>
      </c>
      <c r="I721" s="2" t="str">
        <f t="shared" si="5"/>
        <v>2015-12</v>
      </c>
      <c r="J721" s="2">
        <f t="shared" si="6"/>
        <v>2015</v>
      </c>
      <c r="K721" s="2">
        <f t="shared" si="7"/>
        <v>7</v>
      </c>
      <c r="L721" s="2" t="str">
        <f t="shared" si="8"/>
        <v>Sat</v>
      </c>
    </row>
    <row r="722" ht="15.0" customHeight="1">
      <c r="A722" s="4">
        <v>42358.0</v>
      </c>
      <c r="B722" s="2">
        <v>155312.78</v>
      </c>
      <c r="C722" s="2">
        <v>167421.97</v>
      </c>
      <c r="D722" s="2">
        <v>4382.0</v>
      </c>
      <c r="E722" s="5">
        <f t="shared" si="1"/>
        <v>35.44335463</v>
      </c>
      <c r="F722" s="7">
        <f t="shared" si="2"/>
        <v>-0.07796647513</v>
      </c>
      <c r="G722" s="5">
        <f t="shared" si="3"/>
        <v>-2.763393428</v>
      </c>
      <c r="H722" s="7">
        <f t="shared" si="4"/>
        <v>-0.07796647513</v>
      </c>
      <c r="I722" s="2" t="str">
        <f t="shared" si="5"/>
        <v>2015-12</v>
      </c>
      <c r="J722" s="2">
        <f t="shared" si="6"/>
        <v>2015</v>
      </c>
      <c r="K722" s="2">
        <f t="shared" si="7"/>
        <v>1</v>
      </c>
      <c r="L722" s="2" t="str">
        <f t="shared" si="8"/>
        <v>Sun</v>
      </c>
    </row>
    <row r="723" ht="15.0" customHeight="1">
      <c r="A723" s="4">
        <v>42359.0</v>
      </c>
      <c r="B723" s="2">
        <v>289243.38</v>
      </c>
      <c r="C723" s="2">
        <v>312784.97</v>
      </c>
      <c r="D723" s="2">
        <v>8196.0</v>
      </c>
      <c r="E723" s="5">
        <f t="shared" si="1"/>
        <v>35.29079795</v>
      </c>
      <c r="F723" s="7">
        <f t="shared" si="2"/>
        <v>-0.08139024651</v>
      </c>
      <c r="G723" s="5">
        <f t="shared" si="3"/>
        <v>-2.872326745</v>
      </c>
      <c r="H723" s="7">
        <f t="shared" si="4"/>
        <v>-0.08139024651</v>
      </c>
      <c r="I723" s="2" t="str">
        <f t="shared" si="5"/>
        <v>2015-12</v>
      </c>
      <c r="J723" s="2">
        <f t="shared" si="6"/>
        <v>2015</v>
      </c>
      <c r="K723" s="2">
        <f t="shared" si="7"/>
        <v>2</v>
      </c>
      <c r="L723" s="2" t="str">
        <f t="shared" si="8"/>
        <v>Mon</v>
      </c>
    </row>
    <row r="724" ht="15.0" customHeight="1">
      <c r="A724" s="4">
        <v>42360.0</v>
      </c>
      <c r="B724" s="2">
        <v>313125.33</v>
      </c>
      <c r="C724" s="2">
        <v>338299.62</v>
      </c>
      <c r="D724" s="2">
        <v>8863.0</v>
      </c>
      <c r="E724" s="5">
        <f t="shared" si="1"/>
        <v>35.32949678</v>
      </c>
      <c r="F724" s="7">
        <f t="shared" si="2"/>
        <v>-0.0803968494</v>
      </c>
      <c r="G724" s="5">
        <f t="shared" si="3"/>
        <v>-2.840380232</v>
      </c>
      <c r="H724" s="7">
        <f t="shared" si="4"/>
        <v>-0.0803968494</v>
      </c>
      <c r="I724" s="2" t="str">
        <f t="shared" si="5"/>
        <v>2015-12</v>
      </c>
      <c r="J724" s="2">
        <f t="shared" si="6"/>
        <v>2015</v>
      </c>
      <c r="K724" s="2">
        <f t="shared" si="7"/>
        <v>3</v>
      </c>
      <c r="L724" s="2" t="str">
        <f t="shared" si="8"/>
        <v>Tue</v>
      </c>
    </row>
    <row r="725" ht="15.0" customHeight="1">
      <c r="A725" s="4">
        <v>42361.0</v>
      </c>
      <c r="B725" s="2">
        <v>268330.39</v>
      </c>
      <c r="C725" s="2">
        <v>249584.22</v>
      </c>
      <c r="D725" s="2">
        <v>6534.0</v>
      </c>
      <c r="E725" s="5">
        <f t="shared" si="1"/>
        <v>41.06678757</v>
      </c>
      <c r="F725" s="7">
        <f t="shared" si="2"/>
        <v>0.06986226942</v>
      </c>
      <c r="G725" s="5">
        <f t="shared" si="3"/>
        <v>2.869018978</v>
      </c>
      <c r="H725" s="7">
        <f t="shared" si="4"/>
        <v>0.06986226942</v>
      </c>
      <c r="I725" s="2" t="str">
        <f t="shared" si="5"/>
        <v>2015-12</v>
      </c>
      <c r="J725" s="2">
        <f t="shared" si="6"/>
        <v>2015</v>
      </c>
      <c r="K725" s="2">
        <f t="shared" si="7"/>
        <v>4</v>
      </c>
      <c r="L725" s="2" t="str">
        <f t="shared" si="8"/>
        <v>Wed</v>
      </c>
    </row>
    <row r="726" ht="15.0" customHeight="1">
      <c r="A726" s="4">
        <v>42362.0</v>
      </c>
      <c r="B726" s="2">
        <v>392228.14</v>
      </c>
      <c r="C726" s="2">
        <v>364396.19</v>
      </c>
      <c r="D726" s="2">
        <v>9540.0</v>
      </c>
      <c r="E726" s="5">
        <f t="shared" si="1"/>
        <v>41.1140608</v>
      </c>
      <c r="F726" s="7">
        <f t="shared" si="2"/>
        <v>0.07095857528</v>
      </c>
      <c r="G726" s="5">
        <f t="shared" si="3"/>
        <v>2.917395178</v>
      </c>
      <c r="H726" s="7">
        <f t="shared" si="4"/>
        <v>0.07095857528</v>
      </c>
      <c r="I726" s="2" t="str">
        <f t="shared" si="5"/>
        <v>2015-12</v>
      </c>
      <c r="J726" s="2">
        <f t="shared" si="6"/>
        <v>2015</v>
      </c>
      <c r="K726" s="2">
        <f t="shared" si="7"/>
        <v>5</v>
      </c>
      <c r="L726" s="2" t="str">
        <f t="shared" si="8"/>
        <v>Thu</v>
      </c>
    </row>
    <row r="727" ht="15.0" customHeight="1">
      <c r="A727" s="4">
        <v>42363.0</v>
      </c>
      <c r="B727" s="2">
        <v>133728.98</v>
      </c>
      <c r="C727" s="2">
        <v>124363.56</v>
      </c>
      <c r="D727" s="2">
        <v>3256.0</v>
      </c>
      <c r="E727" s="5">
        <f t="shared" si="1"/>
        <v>41.07155405</v>
      </c>
      <c r="F727" s="7">
        <f t="shared" si="2"/>
        <v>0.07003283806</v>
      </c>
      <c r="G727" s="5">
        <f t="shared" si="3"/>
        <v>2.876357494</v>
      </c>
      <c r="H727" s="7">
        <f t="shared" si="4"/>
        <v>0.07003283806</v>
      </c>
      <c r="I727" s="2" t="str">
        <f t="shared" si="5"/>
        <v>2015-12</v>
      </c>
      <c r="J727" s="2">
        <f t="shared" si="6"/>
        <v>2015</v>
      </c>
      <c r="K727" s="2">
        <f t="shared" si="7"/>
        <v>6</v>
      </c>
      <c r="L727" s="2" t="str">
        <f t="shared" si="8"/>
        <v>Fri</v>
      </c>
    </row>
    <row r="728" ht="15.0" customHeight="1">
      <c r="A728" s="4">
        <v>42364.0</v>
      </c>
      <c r="B728" s="2">
        <v>82778.44</v>
      </c>
      <c r="C728" s="2">
        <v>76876.49</v>
      </c>
      <c r="D728" s="2">
        <v>2013.0</v>
      </c>
      <c r="E728" s="5">
        <f t="shared" si="1"/>
        <v>41.12192747</v>
      </c>
      <c r="F728" s="7">
        <f t="shared" si="2"/>
        <v>0.07129815445</v>
      </c>
      <c r="G728" s="5">
        <f t="shared" si="3"/>
        <v>2.931917536</v>
      </c>
      <c r="H728" s="7">
        <f t="shared" si="4"/>
        <v>0.07129815445</v>
      </c>
      <c r="I728" s="2" t="str">
        <f t="shared" si="5"/>
        <v>2015-12</v>
      </c>
      <c r="J728" s="2">
        <f t="shared" si="6"/>
        <v>2015</v>
      </c>
      <c r="K728" s="2">
        <f t="shared" si="7"/>
        <v>7</v>
      </c>
      <c r="L728" s="2" t="str">
        <f t="shared" si="8"/>
        <v>Sat</v>
      </c>
    </row>
    <row r="729" ht="15.0" customHeight="1">
      <c r="A729" s="4">
        <v>42365.0</v>
      </c>
      <c r="B729" s="2">
        <v>69522.84</v>
      </c>
      <c r="C729" s="2">
        <v>64616.08</v>
      </c>
      <c r="D729" s="2">
        <v>1692.0</v>
      </c>
      <c r="E729" s="5">
        <f t="shared" si="1"/>
        <v>41.08914894</v>
      </c>
      <c r="F729" s="7">
        <f t="shared" si="2"/>
        <v>0.07057766915</v>
      </c>
      <c r="G729" s="5">
        <f t="shared" si="3"/>
        <v>2.899976359</v>
      </c>
      <c r="H729" s="7">
        <f t="shared" si="4"/>
        <v>0.07057766915</v>
      </c>
      <c r="I729" s="2" t="str">
        <f t="shared" si="5"/>
        <v>2015-12</v>
      </c>
      <c r="J729" s="2">
        <f t="shared" si="6"/>
        <v>2015</v>
      </c>
      <c r="K729" s="2">
        <f t="shared" si="7"/>
        <v>1</v>
      </c>
      <c r="L729" s="2" t="str">
        <f t="shared" si="8"/>
        <v>Sun</v>
      </c>
    </row>
    <row r="730" ht="15.0" customHeight="1">
      <c r="A730" s="4">
        <v>42366.0</v>
      </c>
      <c r="B730" s="2">
        <v>133021.27</v>
      </c>
      <c r="C730" s="2">
        <v>123500.79</v>
      </c>
      <c r="D730" s="2">
        <v>3234.0</v>
      </c>
      <c r="E730" s="5">
        <f t="shared" si="1"/>
        <v>41.13211812</v>
      </c>
      <c r="F730" s="7">
        <f t="shared" si="2"/>
        <v>0.07157111039</v>
      </c>
      <c r="G730" s="5">
        <f t="shared" si="3"/>
        <v>2.943871367</v>
      </c>
      <c r="H730" s="7">
        <f t="shared" si="4"/>
        <v>0.07157111039</v>
      </c>
      <c r="I730" s="2" t="str">
        <f t="shared" si="5"/>
        <v>2015-12</v>
      </c>
      <c r="J730" s="2">
        <f t="shared" si="6"/>
        <v>2015</v>
      </c>
      <c r="K730" s="2">
        <f t="shared" si="7"/>
        <v>2</v>
      </c>
      <c r="L730" s="2" t="str">
        <f t="shared" si="8"/>
        <v>Mon</v>
      </c>
    </row>
    <row r="731" ht="15.0" customHeight="1">
      <c r="A731" s="4">
        <v>42367.0</v>
      </c>
      <c r="B731" s="2">
        <v>161267.52</v>
      </c>
      <c r="C731" s="2">
        <v>175378.15</v>
      </c>
      <c r="D731" s="2">
        <v>4592.0</v>
      </c>
      <c r="E731" s="5">
        <f t="shared" si="1"/>
        <v>35.11923345</v>
      </c>
      <c r="F731" s="7">
        <f t="shared" si="2"/>
        <v>-0.08749827616</v>
      </c>
      <c r="G731" s="5">
        <f t="shared" si="3"/>
        <v>-3.072872387</v>
      </c>
      <c r="H731" s="7">
        <f t="shared" si="4"/>
        <v>-0.08749827616</v>
      </c>
      <c r="I731" s="2" t="str">
        <f t="shared" si="5"/>
        <v>2015-12</v>
      </c>
      <c r="J731" s="2">
        <f t="shared" si="6"/>
        <v>2015</v>
      </c>
      <c r="K731" s="2">
        <f t="shared" si="7"/>
        <v>3</v>
      </c>
      <c r="L731" s="2" t="str">
        <f t="shared" si="8"/>
        <v>Tue</v>
      </c>
    </row>
    <row r="732" ht="15.0" customHeight="1">
      <c r="A732" s="4">
        <v>42368.0</v>
      </c>
      <c r="B732" s="2">
        <v>208583.22</v>
      </c>
      <c r="C732" s="2">
        <v>227060.26</v>
      </c>
      <c r="D732" s="2">
        <v>5945.0</v>
      </c>
      <c r="E732" s="5">
        <f t="shared" si="1"/>
        <v>35.08548696</v>
      </c>
      <c r="F732" s="7">
        <f t="shared" si="2"/>
        <v>-0.08858353994</v>
      </c>
      <c r="G732" s="5">
        <f t="shared" si="3"/>
        <v>-3.107996636</v>
      </c>
      <c r="H732" s="7">
        <f t="shared" si="4"/>
        <v>-0.08858353994</v>
      </c>
      <c r="I732" s="2" t="str">
        <f t="shared" si="5"/>
        <v>2015-12</v>
      </c>
      <c r="J732" s="2">
        <f t="shared" si="6"/>
        <v>2015</v>
      </c>
      <c r="K732" s="2">
        <f t="shared" si="7"/>
        <v>4</v>
      </c>
      <c r="L732" s="2" t="str">
        <f t="shared" si="8"/>
        <v>Wed</v>
      </c>
    </row>
    <row r="733" ht="15.0" customHeight="1">
      <c r="A733" s="4">
        <v>42369.0</v>
      </c>
      <c r="B733" s="2">
        <v>325457.53</v>
      </c>
      <c r="C733" s="2">
        <v>353929.74</v>
      </c>
      <c r="D733" s="2">
        <v>9266.0</v>
      </c>
      <c r="E733" s="5">
        <f t="shared" si="1"/>
        <v>35.12384308</v>
      </c>
      <c r="F733" s="7">
        <f t="shared" si="2"/>
        <v>-0.08748364187</v>
      </c>
      <c r="G733" s="5">
        <f t="shared" si="3"/>
        <v>-3.072761709</v>
      </c>
      <c r="H733" s="7">
        <f t="shared" si="4"/>
        <v>-0.08748364187</v>
      </c>
      <c r="I733" s="2" t="str">
        <f t="shared" si="5"/>
        <v>2015-12</v>
      </c>
      <c r="J733" s="2">
        <f t="shared" si="6"/>
        <v>2015</v>
      </c>
      <c r="K733" s="2">
        <f t="shared" si="7"/>
        <v>5</v>
      </c>
      <c r="L733" s="2" t="str">
        <f t="shared" si="8"/>
        <v>Thu</v>
      </c>
    </row>
    <row r="734" ht="15.0" customHeight="1">
      <c r="A734" s="4">
        <v>42370.0</v>
      </c>
      <c r="B734" s="2">
        <v>111650.24</v>
      </c>
      <c r="C734" s="2">
        <v>121448.28</v>
      </c>
      <c r="D734" s="2">
        <v>3179.0</v>
      </c>
      <c r="E734" s="5">
        <f t="shared" si="1"/>
        <v>35.12118276</v>
      </c>
      <c r="F734" s="7">
        <f t="shared" si="2"/>
        <v>-0.08775655117</v>
      </c>
      <c r="G734" s="5">
        <f t="shared" si="3"/>
        <v>-3.082113872</v>
      </c>
      <c r="H734" s="7">
        <f t="shared" si="4"/>
        <v>-0.08775655117</v>
      </c>
      <c r="I734" s="2" t="str">
        <f t="shared" si="5"/>
        <v>2016-01</v>
      </c>
      <c r="J734" s="2">
        <f t="shared" si="6"/>
        <v>2016</v>
      </c>
      <c r="K734" s="2">
        <f t="shared" si="7"/>
        <v>6</v>
      </c>
      <c r="L734" s="2" t="str">
        <f t="shared" si="8"/>
        <v>Fri</v>
      </c>
    </row>
    <row r="735" ht="15.0" customHeight="1">
      <c r="A735" s="4">
        <v>42371.0</v>
      </c>
      <c r="B735" s="2">
        <v>262421.28</v>
      </c>
      <c r="C735" s="2">
        <v>285675.85</v>
      </c>
      <c r="D735" s="2">
        <v>7479.0</v>
      </c>
      <c r="E735" s="5">
        <f t="shared" si="1"/>
        <v>35.0877497</v>
      </c>
      <c r="F735" s="7">
        <f t="shared" si="2"/>
        <v>-0.08861541259</v>
      </c>
      <c r="G735" s="5">
        <f t="shared" si="3"/>
        <v>-3.109315416</v>
      </c>
      <c r="H735" s="7">
        <f t="shared" si="4"/>
        <v>-0.08861541259</v>
      </c>
      <c r="I735" s="2" t="str">
        <f t="shared" si="5"/>
        <v>2016-01</v>
      </c>
      <c r="J735" s="2">
        <f t="shared" si="6"/>
        <v>2016</v>
      </c>
      <c r="K735" s="2">
        <f t="shared" si="7"/>
        <v>7</v>
      </c>
      <c r="L735" s="2" t="str">
        <f t="shared" si="8"/>
        <v>Sat</v>
      </c>
    </row>
    <row r="736" ht="15.0" customHeight="1">
      <c r="A736" s="4">
        <v>42372.0</v>
      </c>
      <c r="B736" s="2">
        <v>164527.54</v>
      </c>
      <c r="C736" s="2">
        <v>179308.95</v>
      </c>
      <c r="D736" s="2">
        <v>4694.0</v>
      </c>
      <c r="E736" s="5">
        <f t="shared" si="1"/>
        <v>35.05060503</v>
      </c>
      <c r="F736" s="7">
        <f t="shared" si="2"/>
        <v>-0.08984155479</v>
      </c>
      <c r="G736" s="5">
        <f t="shared" si="3"/>
        <v>-3.149000852</v>
      </c>
      <c r="H736" s="7">
        <f t="shared" si="4"/>
        <v>-0.08984155479</v>
      </c>
      <c r="I736" s="2" t="str">
        <f t="shared" si="5"/>
        <v>2016-01</v>
      </c>
      <c r="J736" s="2">
        <f t="shared" si="6"/>
        <v>2016</v>
      </c>
      <c r="K736" s="2">
        <f t="shared" si="7"/>
        <v>1</v>
      </c>
      <c r="L736" s="2" t="str">
        <f t="shared" si="8"/>
        <v>Sun</v>
      </c>
    </row>
    <row r="737" ht="15.0" customHeight="1">
      <c r="A737" s="4">
        <v>42373.0</v>
      </c>
      <c r="B737" s="2">
        <v>274990.15</v>
      </c>
      <c r="C737" s="2">
        <v>299576.24</v>
      </c>
      <c r="D737" s="2">
        <v>7843.0</v>
      </c>
      <c r="E737" s="5">
        <f t="shared" si="1"/>
        <v>35.06185771</v>
      </c>
      <c r="F737" s="7">
        <f t="shared" si="2"/>
        <v>-0.08940716604</v>
      </c>
      <c r="G737" s="5">
        <f t="shared" si="3"/>
        <v>-3.134781334</v>
      </c>
      <c r="H737" s="7">
        <f t="shared" si="4"/>
        <v>-0.08940716604</v>
      </c>
      <c r="I737" s="2" t="str">
        <f t="shared" si="5"/>
        <v>2016-01</v>
      </c>
      <c r="J737" s="2">
        <f t="shared" si="6"/>
        <v>2016</v>
      </c>
      <c r="K737" s="2">
        <f t="shared" si="7"/>
        <v>2</v>
      </c>
      <c r="L737" s="2" t="str">
        <f t="shared" si="8"/>
        <v>Mon</v>
      </c>
    </row>
    <row r="738" ht="15.0" customHeight="1">
      <c r="A738" s="4">
        <v>42374.0</v>
      </c>
      <c r="B738" s="2">
        <v>215737.84</v>
      </c>
      <c r="C738" s="2">
        <v>234642.09</v>
      </c>
      <c r="D738" s="2">
        <v>6150.0</v>
      </c>
      <c r="E738" s="5">
        <f t="shared" si="1"/>
        <v>35.07932358</v>
      </c>
      <c r="F738" s="7">
        <f t="shared" si="2"/>
        <v>-0.08762602796</v>
      </c>
      <c r="G738" s="5">
        <f t="shared" si="3"/>
        <v>-3.073861789</v>
      </c>
      <c r="H738" s="7">
        <f t="shared" si="4"/>
        <v>-0.08762602796</v>
      </c>
      <c r="I738" s="2" t="str">
        <f t="shared" si="5"/>
        <v>2016-01</v>
      </c>
      <c r="J738" s="2">
        <f t="shared" si="6"/>
        <v>2016</v>
      </c>
      <c r="K738" s="2">
        <f t="shared" si="7"/>
        <v>3</v>
      </c>
      <c r="L738" s="2" t="str">
        <f t="shared" si="8"/>
        <v>Tue</v>
      </c>
    </row>
    <row r="739" ht="15.0" customHeight="1">
      <c r="A739" s="4">
        <v>42375.0</v>
      </c>
      <c r="B739" s="2">
        <v>98646.98</v>
      </c>
      <c r="C739" s="2">
        <v>91610.56</v>
      </c>
      <c r="D739" s="2">
        <v>2401.0</v>
      </c>
      <c r="E739" s="5">
        <f t="shared" si="1"/>
        <v>41.08578925</v>
      </c>
      <c r="F739" s="7">
        <f t="shared" si="2"/>
        <v>0.07132929969</v>
      </c>
      <c r="G739" s="5">
        <f t="shared" si="3"/>
        <v>2.930620575</v>
      </c>
      <c r="H739" s="7">
        <f t="shared" si="4"/>
        <v>0.07132929969</v>
      </c>
      <c r="I739" s="2" t="str">
        <f t="shared" si="5"/>
        <v>2016-01</v>
      </c>
      <c r="J739" s="2">
        <f t="shared" si="6"/>
        <v>2016</v>
      </c>
      <c r="K739" s="2">
        <f t="shared" si="7"/>
        <v>4</v>
      </c>
      <c r="L739" s="2" t="str">
        <f t="shared" si="8"/>
        <v>Wed</v>
      </c>
    </row>
    <row r="740" ht="15.0" customHeight="1">
      <c r="A740" s="4">
        <v>42376.0</v>
      </c>
      <c r="B740" s="2">
        <v>74401.22</v>
      </c>
      <c r="C740" s="2">
        <v>68988.86</v>
      </c>
      <c r="D740" s="2">
        <v>1808.0</v>
      </c>
      <c r="E740" s="5">
        <f t="shared" si="1"/>
        <v>41.15111726</v>
      </c>
      <c r="F740" s="7">
        <f t="shared" si="2"/>
        <v>0.07274558132</v>
      </c>
      <c r="G740" s="5">
        <f t="shared" si="3"/>
        <v>2.993561947</v>
      </c>
      <c r="H740" s="7">
        <f t="shared" si="4"/>
        <v>0.07274558132</v>
      </c>
      <c r="I740" s="2" t="str">
        <f t="shared" si="5"/>
        <v>2016-01</v>
      </c>
      <c r="J740" s="2">
        <f t="shared" si="6"/>
        <v>2016</v>
      </c>
      <c r="K740" s="2">
        <f t="shared" si="7"/>
        <v>5</v>
      </c>
      <c r="L740" s="2" t="str">
        <f t="shared" si="8"/>
        <v>Thu</v>
      </c>
    </row>
    <row r="741" ht="15.0" customHeight="1">
      <c r="A741" s="4">
        <v>42377.0</v>
      </c>
      <c r="B741" s="2">
        <v>106592.34</v>
      </c>
      <c r="C741" s="2">
        <v>99021.68</v>
      </c>
      <c r="D741" s="2">
        <v>2594.0</v>
      </c>
      <c r="E741" s="5">
        <f t="shared" si="1"/>
        <v>41.09188126</v>
      </c>
      <c r="F741" s="7">
        <f t="shared" si="2"/>
        <v>0.07102442821</v>
      </c>
      <c r="G741" s="5">
        <f t="shared" si="3"/>
        <v>2.918527371</v>
      </c>
      <c r="H741" s="7">
        <f t="shared" si="4"/>
        <v>0.07102442821</v>
      </c>
      <c r="I741" s="2" t="str">
        <f t="shared" si="5"/>
        <v>2016-01</v>
      </c>
      <c r="J741" s="2">
        <f t="shared" si="6"/>
        <v>2016</v>
      </c>
      <c r="K741" s="2">
        <f t="shared" si="7"/>
        <v>6</v>
      </c>
      <c r="L741" s="2" t="str">
        <f t="shared" si="8"/>
        <v>Fri</v>
      </c>
    </row>
    <row r="742" ht="15.0" customHeight="1">
      <c r="A742" s="4">
        <v>42378.0</v>
      </c>
      <c r="B742" s="2">
        <v>134629.66</v>
      </c>
      <c r="C742" s="2">
        <v>124963.47</v>
      </c>
      <c r="D742" s="2">
        <v>3274.0</v>
      </c>
      <c r="E742" s="5">
        <f t="shared" si="1"/>
        <v>41.12084911</v>
      </c>
      <c r="F742" s="7">
        <f t="shared" si="2"/>
        <v>0.07179836895</v>
      </c>
      <c r="G742" s="5">
        <f t="shared" si="3"/>
        <v>2.952409896</v>
      </c>
      <c r="H742" s="7">
        <f t="shared" si="4"/>
        <v>0.07179836895</v>
      </c>
      <c r="I742" s="2" t="str">
        <f t="shared" si="5"/>
        <v>2016-01</v>
      </c>
      <c r="J742" s="2">
        <f t="shared" si="6"/>
        <v>2016</v>
      </c>
      <c r="K742" s="2">
        <f t="shared" si="7"/>
        <v>7</v>
      </c>
      <c r="L742" s="2" t="str">
        <f t="shared" si="8"/>
        <v>Sat</v>
      </c>
    </row>
    <row r="743" ht="15.0" customHeight="1">
      <c r="A743" s="4">
        <v>42379.0</v>
      </c>
      <c r="B743" s="2">
        <v>90773.65</v>
      </c>
      <c r="C743" s="2">
        <v>84299.29</v>
      </c>
      <c r="D743" s="2">
        <v>2207.0</v>
      </c>
      <c r="E743" s="5">
        <f t="shared" si="1"/>
        <v>41.12988219</v>
      </c>
      <c r="F743" s="7">
        <f t="shared" si="2"/>
        <v>0.07132422239</v>
      </c>
      <c r="G743" s="5">
        <f t="shared" si="3"/>
        <v>2.933556865</v>
      </c>
      <c r="H743" s="7">
        <f t="shared" si="4"/>
        <v>0.07132422239</v>
      </c>
      <c r="I743" s="2" t="str">
        <f t="shared" si="5"/>
        <v>2016-01</v>
      </c>
      <c r="J743" s="2">
        <f t="shared" si="6"/>
        <v>2016</v>
      </c>
      <c r="K743" s="2">
        <f t="shared" si="7"/>
        <v>1</v>
      </c>
      <c r="L743" s="2" t="str">
        <f t="shared" si="8"/>
        <v>Sun</v>
      </c>
    </row>
    <row r="744" ht="15.0" customHeight="1">
      <c r="A744" s="4">
        <v>42380.0</v>
      </c>
      <c r="B744" s="2">
        <v>121373.07</v>
      </c>
      <c r="C744" s="2">
        <v>112550.43</v>
      </c>
      <c r="D744" s="2">
        <v>2949.0</v>
      </c>
      <c r="E744" s="5">
        <f t="shared" si="1"/>
        <v>41.15736521</v>
      </c>
      <c r="F744" s="7">
        <f t="shared" si="2"/>
        <v>0.07269025987</v>
      </c>
      <c r="G744" s="5">
        <f t="shared" si="3"/>
        <v>2.991739573</v>
      </c>
      <c r="H744" s="7">
        <f t="shared" si="4"/>
        <v>0.07269025987</v>
      </c>
      <c r="I744" s="2" t="str">
        <f t="shared" si="5"/>
        <v>2016-01</v>
      </c>
      <c r="J744" s="2">
        <f t="shared" si="6"/>
        <v>2016</v>
      </c>
      <c r="K744" s="2">
        <f t="shared" si="7"/>
        <v>2</v>
      </c>
      <c r="L744" s="2" t="str">
        <f t="shared" si="8"/>
        <v>Mon</v>
      </c>
    </row>
    <row r="745" ht="15.0" customHeight="1">
      <c r="A745" s="4">
        <v>42381.0</v>
      </c>
      <c r="B745" s="2">
        <v>99445.56</v>
      </c>
      <c r="C745" s="2">
        <v>92226.52</v>
      </c>
      <c r="D745" s="2">
        <v>2417.0</v>
      </c>
      <c r="E745" s="5">
        <f t="shared" si="1"/>
        <v>41.14421183</v>
      </c>
      <c r="F745" s="7">
        <f t="shared" si="2"/>
        <v>0.07259288399</v>
      </c>
      <c r="G745" s="5">
        <f t="shared" si="3"/>
        <v>2.986776996</v>
      </c>
      <c r="H745" s="7">
        <f t="shared" si="4"/>
        <v>0.07259288399</v>
      </c>
      <c r="I745" s="2" t="str">
        <f t="shared" si="5"/>
        <v>2016-01</v>
      </c>
      <c r="J745" s="2">
        <f t="shared" si="6"/>
        <v>2016</v>
      </c>
      <c r="K745" s="2">
        <f t="shared" si="7"/>
        <v>3</v>
      </c>
      <c r="L745" s="2" t="str">
        <f t="shared" si="8"/>
        <v>Tue</v>
      </c>
    </row>
    <row r="746" ht="15.0" customHeight="1">
      <c r="A746" s="4">
        <v>42382.0</v>
      </c>
      <c r="B746" s="2">
        <v>67587.55</v>
      </c>
      <c r="C746" s="2">
        <v>62760.36</v>
      </c>
      <c r="D746" s="2">
        <v>1644.0</v>
      </c>
      <c r="E746" s="5">
        <f t="shared" si="1"/>
        <v>41.11164842</v>
      </c>
      <c r="F746" s="7">
        <f t="shared" si="2"/>
        <v>0.07142128987</v>
      </c>
      <c r="G746" s="5">
        <f t="shared" si="3"/>
        <v>2.936246959</v>
      </c>
      <c r="H746" s="7">
        <f t="shared" si="4"/>
        <v>0.07142128987</v>
      </c>
      <c r="I746" s="2" t="str">
        <f t="shared" si="5"/>
        <v>2016-01</v>
      </c>
      <c r="J746" s="2">
        <f t="shared" si="6"/>
        <v>2016</v>
      </c>
      <c r="K746" s="2">
        <f t="shared" si="7"/>
        <v>4</v>
      </c>
      <c r="L746" s="2" t="str">
        <f t="shared" si="8"/>
        <v>Wed</v>
      </c>
    </row>
    <row r="747" ht="15.0" customHeight="1">
      <c r="A747" s="4">
        <v>42383.0</v>
      </c>
      <c r="B747" s="2">
        <v>61685.94</v>
      </c>
      <c r="C747" s="2">
        <v>57191.44</v>
      </c>
      <c r="D747" s="2">
        <v>1499.0</v>
      </c>
      <c r="E747" s="5">
        <f t="shared" si="1"/>
        <v>41.15139426</v>
      </c>
      <c r="F747" s="7">
        <f t="shared" si="2"/>
        <v>0.07286101176</v>
      </c>
      <c r="G747" s="5">
        <f t="shared" si="3"/>
        <v>2.998332221</v>
      </c>
      <c r="H747" s="7">
        <f t="shared" si="4"/>
        <v>0.07286101176</v>
      </c>
      <c r="I747" s="2" t="str">
        <f t="shared" si="5"/>
        <v>2016-01</v>
      </c>
      <c r="J747" s="2">
        <f t="shared" si="6"/>
        <v>2016</v>
      </c>
      <c r="K747" s="2">
        <f t="shared" si="7"/>
        <v>5</v>
      </c>
      <c r="L747" s="2" t="str">
        <f t="shared" si="8"/>
        <v>Thu</v>
      </c>
    </row>
    <row r="748" ht="15.0" customHeight="1">
      <c r="A748" s="4">
        <v>42384.0</v>
      </c>
      <c r="B748" s="2">
        <v>150006.93</v>
      </c>
      <c r="C748" s="2">
        <v>139244.9</v>
      </c>
      <c r="D748" s="2">
        <v>3648.0</v>
      </c>
      <c r="E748" s="5">
        <f t="shared" si="1"/>
        <v>41.12032072</v>
      </c>
      <c r="F748" s="7">
        <f t="shared" si="2"/>
        <v>0.07174355211</v>
      </c>
      <c r="G748" s="5">
        <f t="shared" si="3"/>
        <v>2.950117873</v>
      </c>
      <c r="H748" s="7">
        <f t="shared" si="4"/>
        <v>0.07174355211</v>
      </c>
      <c r="I748" s="2" t="str">
        <f t="shared" si="5"/>
        <v>2016-01</v>
      </c>
      <c r="J748" s="2">
        <f t="shared" si="6"/>
        <v>2016</v>
      </c>
      <c r="K748" s="2">
        <f t="shared" si="7"/>
        <v>6</v>
      </c>
      <c r="L748" s="2" t="str">
        <f t="shared" si="8"/>
        <v>Fri</v>
      </c>
    </row>
    <row r="749" ht="15.0" customHeight="1">
      <c r="A749" s="4">
        <v>42385.0</v>
      </c>
      <c r="B749" s="2">
        <v>191287.35</v>
      </c>
      <c r="C749" s="2">
        <v>177577.29</v>
      </c>
      <c r="D749" s="2">
        <v>4652.0</v>
      </c>
      <c r="E749" s="5">
        <f t="shared" si="1"/>
        <v>41.11937876</v>
      </c>
      <c r="F749" s="7">
        <f t="shared" si="2"/>
        <v>0.071672591</v>
      </c>
      <c r="G749" s="5">
        <f t="shared" si="3"/>
        <v>2.947132416</v>
      </c>
      <c r="H749" s="7">
        <f t="shared" si="4"/>
        <v>0.071672591</v>
      </c>
      <c r="I749" s="2" t="str">
        <f t="shared" si="5"/>
        <v>2016-01</v>
      </c>
      <c r="J749" s="2">
        <f t="shared" si="6"/>
        <v>2016</v>
      </c>
      <c r="K749" s="2">
        <f t="shared" si="7"/>
        <v>7</v>
      </c>
      <c r="L749" s="2" t="str">
        <f t="shared" si="8"/>
        <v>Sat</v>
      </c>
    </row>
    <row r="750" ht="15.0" customHeight="1">
      <c r="A750" s="4">
        <v>42386.0</v>
      </c>
      <c r="B750" s="2">
        <v>92595.46</v>
      </c>
      <c r="C750" s="2">
        <v>86018.19</v>
      </c>
      <c r="D750" s="2">
        <v>2252.0</v>
      </c>
      <c r="E750" s="5">
        <f t="shared" si="1"/>
        <v>41.11698934</v>
      </c>
      <c r="F750" s="7">
        <f t="shared" si="2"/>
        <v>0.07103231627</v>
      </c>
      <c r="G750" s="5">
        <f t="shared" si="3"/>
        <v>2.920634991</v>
      </c>
      <c r="H750" s="7">
        <f t="shared" si="4"/>
        <v>0.07103231627</v>
      </c>
      <c r="I750" s="2" t="str">
        <f t="shared" si="5"/>
        <v>2016-01</v>
      </c>
      <c r="J750" s="2">
        <f t="shared" si="6"/>
        <v>2016</v>
      </c>
      <c r="K750" s="2">
        <f t="shared" si="7"/>
        <v>1</v>
      </c>
      <c r="L750" s="2" t="str">
        <f t="shared" si="8"/>
        <v>Sun</v>
      </c>
    </row>
    <row r="751" ht="15.0" customHeight="1">
      <c r="A751" s="4">
        <v>42387.0</v>
      </c>
      <c r="B751" s="2">
        <v>96947.05</v>
      </c>
      <c r="C751" s="2">
        <v>89961.36</v>
      </c>
      <c r="D751" s="2">
        <v>2357.0</v>
      </c>
      <c r="E751" s="5">
        <f t="shared" si="1"/>
        <v>41.13154434</v>
      </c>
      <c r="F751" s="7">
        <f t="shared" si="2"/>
        <v>0.07205675676</v>
      </c>
      <c r="G751" s="5">
        <f t="shared" si="3"/>
        <v>2.963805685</v>
      </c>
      <c r="H751" s="7">
        <f t="shared" si="4"/>
        <v>0.07205675676</v>
      </c>
      <c r="I751" s="2" t="str">
        <f t="shared" si="5"/>
        <v>2016-01</v>
      </c>
      <c r="J751" s="2">
        <f t="shared" si="6"/>
        <v>2016</v>
      </c>
      <c r="K751" s="2">
        <f t="shared" si="7"/>
        <v>2</v>
      </c>
      <c r="L751" s="2" t="str">
        <f t="shared" si="8"/>
        <v>Mon</v>
      </c>
    </row>
    <row r="752" ht="15.0" customHeight="1">
      <c r="A752" s="4">
        <v>42388.0</v>
      </c>
      <c r="B752" s="2">
        <v>70512.89</v>
      </c>
      <c r="C752" s="2">
        <v>65453.28</v>
      </c>
      <c r="D752" s="2">
        <v>1715.0</v>
      </c>
      <c r="E752" s="5">
        <f t="shared" si="1"/>
        <v>41.11538776</v>
      </c>
      <c r="F752" s="7">
        <f t="shared" si="2"/>
        <v>0.07175439838</v>
      </c>
      <c r="G752" s="5">
        <f t="shared" si="3"/>
        <v>2.950209913</v>
      </c>
      <c r="H752" s="7">
        <f t="shared" si="4"/>
        <v>0.07175439838</v>
      </c>
      <c r="I752" s="2" t="str">
        <f t="shared" si="5"/>
        <v>2016-01</v>
      </c>
      <c r="J752" s="2">
        <f t="shared" si="6"/>
        <v>2016</v>
      </c>
      <c r="K752" s="2">
        <f t="shared" si="7"/>
        <v>3</v>
      </c>
      <c r="L752" s="2" t="str">
        <f t="shared" si="8"/>
        <v>Tue</v>
      </c>
    </row>
    <row r="753" ht="15.0" customHeight="1">
      <c r="A753" s="4">
        <v>42389.0</v>
      </c>
      <c r="B753" s="2">
        <v>159590.49</v>
      </c>
      <c r="C753" s="2">
        <v>182351.14</v>
      </c>
      <c r="D753" s="2">
        <v>4776.0</v>
      </c>
      <c r="E753" s="5">
        <f t="shared" si="1"/>
        <v>33.41509422</v>
      </c>
      <c r="F753" s="7">
        <f t="shared" si="2"/>
        <v>-0.1426190871</v>
      </c>
      <c r="G753" s="5">
        <f t="shared" si="3"/>
        <v>-4.765630235</v>
      </c>
      <c r="H753" s="7">
        <f t="shared" si="4"/>
        <v>-0.1426190871</v>
      </c>
      <c r="I753" s="2" t="str">
        <f t="shared" si="5"/>
        <v>2016-01</v>
      </c>
      <c r="J753" s="2">
        <f t="shared" si="6"/>
        <v>2016</v>
      </c>
      <c r="K753" s="2">
        <f t="shared" si="7"/>
        <v>4</v>
      </c>
      <c r="L753" s="2" t="str">
        <f t="shared" si="8"/>
        <v>Wed</v>
      </c>
    </row>
    <row r="754" ht="15.0" customHeight="1">
      <c r="A754" s="4">
        <v>42390.0</v>
      </c>
      <c r="B754" s="2">
        <v>67046.27</v>
      </c>
      <c r="C754" s="2">
        <v>61894.26</v>
      </c>
      <c r="D754" s="2">
        <v>1628.0</v>
      </c>
      <c r="E754" s="5">
        <f t="shared" si="1"/>
        <v>41.18321253</v>
      </c>
      <c r="F754" s="7">
        <f t="shared" si="2"/>
        <v>0.07684260437</v>
      </c>
      <c r="G754" s="5">
        <f t="shared" si="3"/>
        <v>3.164625307</v>
      </c>
      <c r="H754" s="7">
        <f t="shared" si="4"/>
        <v>0.07684260437</v>
      </c>
      <c r="I754" s="2" t="str">
        <f t="shared" si="5"/>
        <v>2016-01</v>
      </c>
      <c r="J754" s="2">
        <f t="shared" si="6"/>
        <v>2016</v>
      </c>
      <c r="K754" s="2">
        <f t="shared" si="7"/>
        <v>5</v>
      </c>
      <c r="L754" s="2" t="str">
        <f t="shared" si="8"/>
        <v>Thu</v>
      </c>
    </row>
    <row r="755" ht="15.0" customHeight="1">
      <c r="A755" s="4">
        <v>42391.0</v>
      </c>
      <c r="B755" s="2">
        <v>266949.24</v>
      </c>
      <c r="C755" s="2">
        <v>294322.93</v>
      </c>
      <c r="D755" s="2">
        <v>7806.0</v>
      </c>
      <c r="E755" s="5">
        <f t="shared" si="1"/>
        <v>34.19795542</v>
      </c>
      <c r="F755" s="7">
        <f t="shared" si="2"/>
        <v>-0.1025426782</v>
      </c>
      <c r="G755" s="5">
        <f t="shared" si="3"/>
        <v>-3.506749936</v>
      </c>
      <c r="H755" s="7">
        <f t="shared" si="4"/>
        <v>-0.1025426782</v>
      </c>
      <c r="I755" s="2" t="str">
        <f t="shared" si="5"/>
        <v>2016-01</v>
      </c>
      <c r="J755" s="2">
        <f t="shared" si="6"/>
        <v>2016</v>
      </c>
      <c r="K755" s="2">
        <f t="shared" si="7"/>
        <v>6</v>
      </c>
      <c r="L755" s="2" t="str">
        <f t="shared" si="8"/>
        <v>Fri</v>
      </c>
    </row>
    <row r="756" ht="15.0" customHeight="1">
      <c r="A756" s="4">
        <v>42392.0</v>
      </c>
      <c r="B756" s="2">
        <v>315272.22</v>
      </c>
      <c r="C756" s="2">
        <v>346093.07</v>
      </c>
      <c r="D756" s="2">
        <v>9210.0</v>
      </c>
      <c r="E756" s="5">
        <f t="shared" si="1"/>
        <v>34.2315114</v>
      </c>
      <c r="F756" s="7">
        <f t="shared" si="2"/>
        <v>-0.09775948544</v>
      </c>
      <c r="G756" s="5">
        <f t="shared" si="3"/>
        <v>-3.34645494</v>
      </c>
      <c r="H756" s="7">
        <f t="shared" si="4"/>
        <v>-0.09775948544</v>
      </c>
      <c r="I756" s="2" t="str">
        <f t="shared" si="5"/>
        <v>2016-01</v>
      </c>
      <c r="J756" s="2">
        <f t="shared" si="6"/>
        <v>2016</v>
      </c>
      <c r="K756" s="2">
        <f t="shared" si="7"/>
        <v>7</v>
      </c>
      <c r="L756" s="2" t="str">
        <f t="shared" si="8"/>
        <v>Sat</v>
      </c>
    </row>
    <row r="757" ht="15.0" customHeight="1">
      <c r="A757" s="4">
        <v>42393.0</v>
      </c>
      <c r="B757" s="2">
        <v>149138.92</v>
      </c>
      <c r="C757" s="2">
        <v>163505.71</v>
      </c>
      <c r="D757" s="2">
        <v>4351.0</v>
      </c>
      <c r="E757" s="5">
        <f t="shared" si="1"/>
        <v>34.27692944</v>
      </c>
      <c r="F757" s="7">
        <f t="shared" si="2"/>
        <v>-0.09633159473</v>
      </c>
      <c r="G757" s="5">
        <f t="shared" si="3"/>
        <v>-3.301951276</v>
      </c>
      <c r="H757" s="7">
        <f t="shared" si="4"/>
        <v>-0.09633159473</v>
      </c>
      <c r="I757" s="2" t="str">
        <f t="shared" si="5"/>
        <v>2016-01</v>
      </c>
      <c r="J757" s="2">
        <f t="shared" si="6"/>
        <v>2016</v>
      </c>
      <c r="K757" s="2">
        <f t="shared" si="7"/>
        <v>1</v>
      </c>
      <c r="L757" s="2" t="str">
        <f t="shared" si="8"/>
        <v>Sun</v>
      </c>
    </row>
    <row r="758" ht="15.0" customHeight="1">
      <c r="A758" s="4">
        <v>42394.0</v>
      </c>
      <c r="B758" s="2">
        <v>215171.04</v>
      </c>
      <c r="C758" s="2">
        <v>234621.6</v>
      </c>
      <c r="D758" s="2">
        <v>6278.0</v>
      </c>
      <c r="E758" s="5">
        <f t="shared" si="1"/>
        <v>34.27381969</v>
      </c>
      <c r="F758" s="7">
        <f t="shared" si="2"/>
        <v>-0.09039580791</v>
      </c>
      <c r="G758" s="5">
        <f t="shared" si="3"/>
        <v>-3.098209621</v>
      </c>
      <c r="H758" s="7">
        <f t="shared" si="4"/>
        <v>-0.09039580791</v>
      </c>
      <c r="I758" s="2" t="str">
        <f t="shared" si="5"/>
        <v>2016-01</v>
      </c>
      <c r="J758" s="2">
        <f t="shared" si="6"/>
        <v>2016</v>
      </c>
      <c r="K758" s="2">
        <f t="shared" si="7"/>
        <v>2</v>
      </c>
      <c r="L758" s="2" t="str">
        <f t="shared" si="8"/>
        <v>Mon</v>
      </c>
    </row>
    <row r="759" ht="15.0" customHeight="1">
      <c r="A759" s="4">
        <v>42395.0</v>
      </c>
      <c r="B759" s="2">
        <v>205197.9</v>
      </c>
      <c r="C759" s="2">
        <v>221931.58</v>
      </c>
      <c r="D759" s="2">
        <v>5992.0</v>
      </c>
      <c r="E759" s="5">
        <f t="shared" si="1"/>
        <v>34.24531041</v>
      </c>
      <c r="F759" s="7">
        <f t="shared" si="2"/>
        <v>-0.08154898271</v>
      </c>
      <c r="G759" s="5">
        <f t="shared" si="3"/>
        <v>-2.792670227</v>
      </c>
      <c r="H759" s="7">
        <f t="shared" si="4"/>
        <v>-0.08154898271</v>
      </c>
      <c r="I759" s="2" t="str">
        <f t="shared" si="5"/>
        <v>2016-01</v>
      </c>
      <c r="J759" s="2">
        <f t="shared" si="6"/>
        <v>2016</v>
      </c>
      <c r="K759" s="2">
        <f t="shared" si="7"/>
        <v>3</v>
      </c>
      <c r="L759" s="2" t="str">
        <f t="shared" si="8"/>
        <v>Tue</v>
      </c>
    </row>
    <row r="760" ht="15.0" customHeight="1">
      <c r="A760" s="4">
        <v>42396.0</v>
      </c>
      <c r="B760" s="2">
        <v>214452.25</v>
      </c>
      <c r="C760" s="2">
        <v>231730.23</v>
      </c>
      <c r="D760" s="2">
        <v>6265.0</v>
      </c>
      <c r="E760" s="5">
        <f t="shared" si="1"/>
        <v>34.2302075</v>
      </c>
      <c r="F760" s="7">
        <f t="shared" si="2"/>
        <v>-0.0805679586</v>
      </c>
      <c r="G760" s="5">
        <f t="shared" si="3"/>
        <v>-2.757857941</v>
      </c>
      <c r="H760" s="7">
        <f t="shared" si="4"/>
        <v>-0.0805679586</v>
      </c>
      <c r="I760" s="2" t="str">
        <f t="shared" si="5"/>
        <v>2016-01</v>
      </c>
      <c r="J760" s="2">
        <f t="shared" si="6"/>
        <v>2016</v>
      </c>
      <c r="K760" s="2">
        <f t="shared" si="7"/>
        <v>4</v>
      </c>
      <c r="L760" s="2" t="str">
        <f t="shared" si="8"/>
        <v>Wed</v>
      </c>
    </row>
    <row r="761" ht="15.0" customHeight="1">
      <c r="A761" s="4">
        <v>42397.0</v>
      </c>
      <c r="B761" s="2">
        <v>195767.97</v>
      </c>
      <c r="C761" s="2">
        <v>210639.85</v>
      </c>
      <c r="D761" s="2">
        <v>5723.0</v>
      </c>
      <c r="E761" s="5">
        <f t="shared" si="1"/>
        <v>34.20722873</v>
      </c>
      <c r="F761" s="7">
        <f t="shared" si="2"/>
        <v>-0.07596687037</v>
      </c>
      <c r="G761" s="5">
        <f t="shared" si="3"/>
        <v>-2.59861611</v>
      </c>
      <c r="H761" s="7">
        <f t="shared" si="4"/>
        <v>-0.07596687037</v>
      </c>
      <c r="I761" s="2" t="str">
        <f t="shared" si="5"/>
        <v>2016-01</v>
      </c>
      <c r="J761" s="2">
        <f t="shared" si="6"/>
        <v>2016</v>
      </c>
      <c r="K761" s="2">
        <f t="shared" si="7"/>
        <v>5</v>
      </c>
      <c r="L761" s="2" t="str">
        <f t="shared" si="8"/>
        <v>Thu</v>
      </c>
    </row>
    <row r="762" ht="15.0" customHeight="1">
      <c r="A762" s="4">
        <v>42398.0</v>
      </c>
      <c r="B762" s="2">
        <v>397984.33</v>
      </c>
      <c r="C762" s="2">
        <v>437198.93</v>
      </c>
      <c r="D762" s="2">
        <v>11900.0</v>
      </c>
      <c r="E762" s="5">
        <f t="shared" si="1"/>
        <v>33.44406134</v>
      </c>
      <c r="F762" s="7">
        <f t="shared" si="2"/>
        <v>-0.09853302516</v>
      </c>
      <c r="G762" s="5">
        <f t="shared" si="3"/>
        <v>-3.295344538</v>
      </c>
      <c r="H762" s="7">
        <f t="shared" si="4"/>
        <v>-0.09853302516</v>
      </c>
      <c r="I762" s="2" t="str">
        <f t="shared" si="5"/>
        <v>2016-01</v>
      </c>
      <c r="J762" s="2">
        <f t="shared" si="6"/>
        <v>2016</v>
      </c>
      <c r="K762" s="2">
        <f t="shared" si="7"/>
        <v>6</v>
      </c>
      <c r="L762" s="2" t="str">
        <f t="shared" si="8"/>
        <v>Fri</v>
      </c>
    </row>
    <row r="763" ht="15.0" customHeight="1">
      <c r="A763" s="4">
        <v>42399.0</v>
      </c>
      <c r="B763" s="2">
        <v>512603.1</v>
      </c>
      <c r="C763" s="2">
        <v>561872.21</v>
      </c>
      <c r="D763" s="2">
        <v>15345.0</v>
      </c>
      <c r="E763" s="5">
        <f t="shared" si="1"/>
        <v>33.40521994</v>
      </c>
      <c r="F763" s="7">
        <f t="shared" si="2"/>
        <v>-0.09611551315</v>
      </c>
      <c r="G763" s="5">
        <f t="shared" si="3"/>
        <v>-3.210759857</v>
      </c>
      <c r="H763" s="7">
        <f t="shared" si="4"/>
        <v>-0.09611551315</v>
      </c>
      <c r="I763" s="2" t="str">
        <f t="shared" si="5"/>
        <v>2016-01</v>
      </c>
      <c r="J763" s="2">
        <f t="shared" si="6"/>
        <v>2016</v>
      </c>
      <c r="K763" s="2">
        <f t="shared" si="7"/>
        <v>7</v>
      </c>
      <c r="L763" s="2" t="str">
        <f t="shared" si="8"/>
        <v>Sat</v>
      </c>
    </row>
    <row r="764" ht="15.0" customHeight="1">
      <c r="A764" s="4">
        <v>42400.0</v>
      </c>
      <c r="B764" s="2">
        <v>218104.07</v>
      </c>
      <c r="C764" s="2">
        <v>238662.19</v>
      </c>
      <c r="D764" s="2">
        <v>6525.0</v>
      </c>
      <c r="E764" s="5">
        <f t="shared" si="1"/>
        <v>33.42591111</v>
      </c>
      <c r="F764" s="7">
        <f t="shared" si="2"/>
        <v>-0.09425830522</v>
      </c>
      <c r="G764" s="5">
        <f t="shared" si="3"/>
        <v>-3.150669732</v>
      </c>
      <c r="H764" s="7">
        <f t="shared" si="4"/>
        <v>-0.09425830522</v>
      </c>
      <c r="I764" s="2" t="str">
        <f t="shared" si="5"/>
        <v>2016-01</v>
      </c>
      <c r="J764" s="2">
        <f t="shared" si="6"/>
        <v>2016</v>
      </c>
      <c r="K764" s="2">
        <f t="shared" si="7"/>
        <v>1</v>
      </c>
      <c r="L764" s="2" t="str">
        <f t="shared" si="8"/>
        <v>Sun</v>
      </c>
    </row>
    <row r="765" ht="15.0" customHeight="1">
      <c r="A765" s="4">
        <v>42401.0</v>
      </c>
      <c r="B765" s="2">
        <v>339004.34</v>
      </c>
      <c r="C765" s="2">
        <v>371177.19</v>
      </c>
      <c r="D765" s="2">
        <v>10153.0</v>
      </c>
      <c r="E765" s="5">
        <f t="shared" si="1"/>
        <v>33.38957353</v>
      </c>
      <c r="F765" s="7">
        <f t="shared" si="2"/>
        <v>-0.09490394725</v>
      </c>
      <c r="G765" s="5">
        <f t="shared" si="3"/>
        <v>-3.168802324</v>
      </c>
      <c r="H765" s="7">
        <f t="shared" si="4"/>
        <v>-0.09490394725</v>
      </c>
      <c r="I765" s="2" t="str">
        <f t="shared" si="5"/>
        <v>2016-02</v>
      </c>
      <c r="J765" s="2">
        <f t="shared" si="6"/>
        <v>2016</v>
      </c>
      <c r="K765" s="2">
        <f t="shared" si="7"/>
        <v>2</v>
      </c>
      <c r="L765" s="2" t="str">
        <f t="shared" si="8"/>
        <v>Mon</v>
      </c>
    </row>
    <row r="766" ht="15.0" customHeight="1">
      <c r="A766" s="4">
        <v>42402.0</v>
      </c>
      <c r="B766" s="2">
        <v>278116.37</v>
      </c>
      <c r="C766" s="2">
        <v>295645.63</v>
      </c>
      <c r="D766" s="2">
        <v>8116.0</v>
      </c>
      <c r="E766" s="5">
        <f t="shared" si="1"/>
        <v>34.26766511</v>
      </c>
      <c r="F766" s="7">
        <f t="shared" si="2"/>
        <v>-0.06302850853</v>
      </c>
      <c r="G766" s="5">
        <f t="shared" si="3"/>
        <v>-2.159839823</v>
      </c>
      <c r="H766" s="7">
        <f t="shared" si="4"/>
        <v>-0.06302850853</v>
      </c>
      <c r="I766" s="2" t="str">
        <f t="shared" si="5"/>
        <v>2016-02</v>
      </c>
      <c r="J766" s="2">
        <f t="shared" si="6"/>
        <v>2016</v>
      </c>
      <c r="K766" s="2">
        <f t="shared" si="7"/>
        <v>3</v>
      </c>
      <c r="L766" s="2" t="str">
        <f t="shared" si="8"/>
        <v>Tue</v>
      </c>
    </row>
    <row r="767" ht="15.0" customHeight="1">
      <c r="A767" s="4">
        <v>42403.0</v>
      </c>
      <c r="B767" s="2">
        <v>264159.3</v>
      </c>
      <c r="C767" s="2">
        <v>280392.27</v>
      </c>
      <c r="D767" s="2">
        <v>7712.0</v>
      </c>
      <c r="E767" s="5">
        <f t="shared" si="1"/>
        <v>34.25302127</v>
      </c>
      <c r="F767" s="7">
        <f t="shared" si="2"/>
        <v>-0.06145144237</v>
      </c>
      <c r="G767" s="5">
        <f t="shared" si="3"/>
        <v>-2.104897562</v>
      </c>
      <c r="H767" s="7">
        <f t="shared" si="4"/>
        <v>-0.06145144237</v>
      </c>
      <c r="I767" s="2" t="str">
        <f t="shared" si="5"/>
        <v>2016-02</v>
      </c>
      <c r="J767" s="2">
        <f t="shared" si="6"/>
        <v>2016</v>
      </c>
      <c r="K767" s="2">
        <f t="shared" si="7"/>
        <v>4</v>
      </c>
      <c r="L767" s="2" t="str">
        <f t="shared" si="8"/>
        <v>Wed</v>
      </c>
    </row>
    <row r="768" ht="15.0" customHeight="1">
      <c r="A768" s="4">
        <v>42404.0</v>
      </c>
      <c r="B768" s="2">
        <v>197778.13</v>
      </c>
      <c r="C768" s="2">
        <v>209372.29</v>
      </c>
      <c r="D768" s="2">
        <v>5759.0</v>
      </c>
      <c r="E768" s="5">
        <f t="shared" si="1"/>
        <v>34.34244313</v>
      </c>
      <c r="F768" s="7">
        <f t="shared" si="2"/>
        <v>-0.0586220529</v>
      </c>
      <c r="G768" s="5">
        <f t="shared" si="3"/>
        <v>-2.013224518</v>
      </c>
      <c r="H768" s="7">
        <f t="shared" si="4"/>
        <v>-0.0586220529</v>
      </c>
      <c r="I768" s="2" t="str">
        <f t="shared" si="5"/>
        <v>2016-02</v>
      </c>
      <c r="J768" s="2">
        <f t="shared" si="6"/>
        <v>2016</v>
      </c>
      <c r="K768" s="2">
        <f t="shared" si="7"/>
        <v>5</v>
      </c>
      <c r="L768" s="2" t="str">
        <f t="shared" si="8"/>
        <v>Thu</v>
      </c>
    </row>
    <row r="769" ht="15.0" customHeight="1">
      <c r="A769" s="4">
        <v>42405.0</v>
      </c>
      <c r="B769" s="2">
        <v>325749.01</v>
      </c>
      <c r="C769" s="2">
        <v>345287.81</v>
      </c>
      <c r="D769" s="2">
        <v>9501.0</v>
      </c>
      <c r="E769" s="5">
        <f t="shared" si="1"/>
        <v>34.28576045</v>
      </c>
      <c r="F769" s="7">
        <f t="shared" si="2"/>
        <v>-0.05998114929</v>
      </c>
      <c r="G769" s="5">
        <f t="shared" si="3"/>
        <v>-2.056499316</v>
      </c>
      <c r="H769" s="7">
        <f t="shared" si="4"/>
        <v>-0.05998114929</v>
      </c>
      <c r="I769" s="2" t="str">
        <f t="shared" si="5"/>
        <v>2016-02</v>
      </c>
      <c r="J769" s="2">
        <f t="shared" si="6"/>
        <v>2016</v>
      </c>
      <c r="K769" s="2">
        <f t="shared" si="7"/>
        <v>6</v>
      </c>
      <c r="L769" s="2" t="str">
        <f t="shared" si="8"/>
        <v>Fri</v>
      </c>
    </row>
    <row r="770" ht="15.0" customHeight="1">
      <c r="A770" s="4">
        <v>42406.0</v>
      </c>
      <c r="B770" s="2">
        <v>371561.98</v>
      </c>
      <c r="C770" s="2">
        <v>393884.43</v>
      </c>
      <c r="D770" s="2">
        <v>10840.0</v>
      </c>
      <c r="E770" s="5">
        <f t="shared" si="1"/>
        <v>34.27693542</v>
      </c>
      <c r="F770" s="7">
        <f t="shared" si="2"/>
        <v>-0.06007732546</v>
      </c>
      <c r="G770" s="5">
        <f t="shared" si="3"/>
        <v>-2.059266605</v>
      </c>
      <c r="H770" s="7">
        <f t="shared" si="4"/>
        <v>-0.06007732546</v>
      </c>
      <c r="I770" s="2" t="str">
        <f t="shared" si="5"/>
        <v>2016-02</v>
      </c>
      <c r="J770" s="2">
        <f t="shared" si="6"/>
        <v>2016</v>
      </c>
      <c r="K770" s="2">
        <f t="shared" si="7"/>
        <v>7</v>
      </c>
      <c r="L770" s="2" t="str">
        <f t="shared" si="8"/>
        <v>Sat</v>
      </c>
    </row>
    <row r="771" ht="15.0" customHeight="1">
      <c r="A771" s="4">
        <v>42407.0</v>
      </c>
      <c r="B771" s="2">
        <v>174581.68</v>
      </c>
      <c r="C771" s="2">
        <v>185040.82</v>
      </c>
      <c r="D771" s="2">
        <v>5089.0</v>
      </c>
      <c r="E771" s="5">
        <f t="shared" si="1"/>
        <v>34.30569464</v>
      </c>
      <c r="F771" s="7">
        <f t="shared" si="2"/>
        <v>-0.05990972249</v>
      </c>
      <c r="G771" s="5">
        <f t="shared" si="3"/>
        <v>-2.055244645</v>
      </c>
      <c r="H771" s="7">
        <f t="shared" si="4"/>
        <v>-0.05990972249</v>
      </c>
      <c r="I771" s="2" t="str">
        <f t="shared" si="5"/>
        <v>2016-02</v>
      </c>
      <c r="J771" s="2">
        <f t="shared" si="6"/>
        <v>2016</v>
      </c>
      <c r="K771" s="2">
        <f t="shared" si="7"/>
        <v>1</v>
      </c>
      <c r="L771" s="2" t="str">
        <f t="shared" si="8"/>
        <v>Sun</v>
      </c>
    </row>
    <row r="772" ht="15.0" customHeight="1">
      <c r="A772" s="4">
        <v>42408.0</v>
      </c>
      <c r="B772" s="2">
        <v>208489.37</v>
      </c>
      <c r="C772" s="2">
        <v>221372.84</v>
      </c>
      <c r="D772" s="2">
        <v>6087.0</v>
      </c>
      <c r="E772" s="5">
        <f t="shared" si="1"/>
        <v>34.25158042</v>
      </c>
      <c r="F772" s="7">
        <f t="shared" si="2"/>
        <v>-0.0617943735</v>
      </c>
      <c r="G772" s="5">
        <f t="shared" si="3"/>
        <v>-2.116554953</v>
      </c>
      <c r="H772" s="7">
        <f t="shared" si="4"/>
        <v>-0.0617943735</v>
      </c>
      <c r="I772" s="2" t="str">
        <f t="shared" si="5"/>
        <v>2016-02</v>
      </c>
      <c r="J772" s="2">
        <f t="shared" si="6"/>
        <v>2016</v>
      </c>
      <c r="K772" s="2">
        <f t="shared" si="7"/>
        <v>2</v>
      </c>
      <c r="L772" s="2" t="str">
        <f t="shared" si="8"/>
        <v>Mon</v>
      </c>
    </row>
    <row r="773" ht="15.0" customHeight="1">
      <c r="A773" s="4">
        <v>42409.0</v>
      </c>
      <c r="B773" s="2">
        <v>84495.17</v>
      </c>
      <c r="C773" s="2">
        <v>74682.27</v>
      </c>
      <c r="D773" s="2">
        <v>2053.0</v>
      </c>
      <c r="E773" s="5">
        <f t="shared" si="1"/>
        <v>41.15692645</v>
      </c>
      <c r="F773" s="7">
        <f t="shared" si="2"/>
        <v>0.1161356324</v>
      </c>
      <c r="G773" s="5">
        <f t="shared" si="3"/>
        <v>4.779785679</v>
      </c>
      <c r="H773" s="7">
        <f t="shared" si="4"/>
        <v>0.1161356324</v>
      </c>
      <c r="I773" s="2" t="str">
        <f t="shared" si="5"/>
        <v>2016-02</v>
      </c>
      <c r="J773" s="2">
        <f t="shared" si="6"/>
        <v>2016</v>
      </c>
      <c r="K773" s="2">
        <f t="shared" si="7"/>
        <v>3</v>
      </c>
      <c r="L773" s="2" t="str">
        <f t="shared" si="8"/>
        <v>Tue</v>
      </c>
    </row>
    <row r="774" ht="15.0" customHeight="1">
      <c r="A774" s="4">
        <v>42410.0</v>
      </c>
      <c r="B774" s="2">
        <v>76661.25</v>
      </c>
      <c r="C774" s="2">
        <v>66379.56</v>
      </c>
      <c r="D774" s="2">
        <v>1825.0</v>
      </c>
      <c r="E774" s="5">
        <f t="shared" si="1"/>
        <v>42.00616438</v>
      </c>
      <c r="F774" s="7">
        <f t="shared" si="2"/>
        <v>0.1341184758</v>
      </c>
      <c r="G774" s="5">
        <f t="shared" si="3"/>
        <v>5.63380274</v>
      </c>
      <c r="H774" s="7">
        <f t="shared" si="4"/>
        <v>0.1341184758</v>
      </c>
      <c r="I774" s="2" t="str">
        <f t="shared" si="5"/>
        <v>2016-02</v>
      </c>
      <c r="J774" s="2">
        <f t="shared" si="6"/>
        <v>2016</v>
      </c>
      <c r="K774" s="2">
        <f t="shared" si="7"/>
        <v>4</v>
      </c>
      <c r="L774" s="2" t="str">
        <f t="shared" si="8"/>
        <v>Wed</v>
      </c>
    </row>
    <row r="775" ht="15.0" customHeight="1">
      <c r="A775" s="4">
        <v>42411.0</v>
      </c>
      <c r="B775" s="2">
        <v>64034.94</v>
      </c>
      <c r="C775" s="2">
        <v>55491.34</v>
      </c>
      <c r="D775" s="2">
        <v>1525.0</v>
      </c>
      <c r="E775" s="5">
        <f t="shared" si="1"/>
        <v>41.99012459</v>
      </c>
      <c r="F775" s="7">
        <f t="shared" si="2"/>
        <v>0.1334209105</v>
      </c>
      <c r="G775" s="5">
        <f t="shared" si="3"/>
        <v>5.602360656</v>
      </c>
      <c r="H775" s="7">
        <f t="shared" si="4"/>
        <v>0.1334209105</v>
      </c>
      <c r="I775" s="2" t="str">
        <f t="shared" si="5"/>
        <v>2016-02</v>
      </c>
      <c r="J775" s="2">
        <f t="shared" si="6"/>
        <v>2016</v>
      </c>
      <c r="K775" s="2">
        <f t="shared" si="7"/>
        <v>5</v>
      </c>
      <c r="L775" s="2" t="str">
        <f t="shared" si="8"/>
        <v>Thu</v>
      </c>
    </row>
    <row r="776" ht="15.0" customHeight="1">
      <c r="A776" s="4">
        <v>42412.0</v>
      </c>
      <c r="B776" s="2">
        <v>148839.97</v>
      </c>
      <c r="C776" s="2">
        <v>129583.49</v>
      </c>
      <c r="D776" s="2">
        <v>3542.0</v>
      </c>
      <c r="E776" s="5">
        <f t="shared" si="1"/>
        <v>42.02144833</v>
      </c>
      <c r="F776" s="7">
        <f t="shared" si="2"/>
        <v>0.1293770753</v>
      </c>
      <c r="G776" s="5">
        <f t="shared" si="3"/>
        <v>5.436612084</v>
      </c>
      <c r="H776" s="7">
        <f t="shared" si="4"/>
        <v>0.1293770753</v>
      </c>
      <c r="I776" s="2" t="str">
        <f t="shared" si="5"/>
        <v>2016-02</v>
      </c>
      <c r="J776" s="2">
        <f t="shared" si="6"/>
        <v>2016</v>
      </c>
      <c r="K776" s="2">
        <f t="shared" si="7"/>
        <v>6</v>
      </c>
      <c r="L776" s="2" t="str">
        <f t="shared" si="8"/>
        <v>Fri</v>
      </c>
    </row>
    <row r="777" ht="15.0" customHeight="1">
      <c r="A777" s="4">
        <v>42413.0</v>
      </c>
      <c r="B777" s="2">
        <v>172541.51</v>
      </c>
      <c r="C777" s="2">
        <v>150538.98</v>
      </c>
      <c r="D777" s="2">
        <v>4105.0</v>
      </c>
      <c r="E777" s="5">
        <f t="shared" si="1"/>
        <v>42.03203654</v>
      </c>
      <c r="F777" s="7">
        <f t="shared" si="2"/>
        <v>0.1275202124</v>
      </c>
      <c r="G777" s="5">
        <f t="shared" si="3"/>
        <v>5.359934227</v>
      </c>
      <c r="H777" s="7">
        <f t="shared" si="4"/>
        <v>0.1275202124</v>
      </c>
      <c r="I777" s="2" t="str">
        <f t="shared" si="5"/>
        <v>2016-02</v>
      </c>
      <c r="J777" s="2">
        <f t="shared" si="6"/>
        <v>2016</v>
      </c>
      <c r="K777" s="2">
        <f t="shared" si="7"/>
        <v>7</v>
      </c>
      <c r="L777" s="2" t="str">
        <f t="shared" si="8"/>
        <v>Sat</v>
      </c>
    </row>
    <row r="778" ht="15.0" customHeight="1">
      <c r="A778" s="4">
        <v>42414.0</v>
      </c>
      <c r="B778" s="2">
        <v>87991.66</v>
      </c>
      <c r="C778" s="2">
        <v>76378.5</v>
      </c>
      <c r="D778" s="2">
        <v>2094.0</v>
      </c>
      <c r="E778" s="5">
        <f t="shared" si="1"/>
        <v>42.02085005</v>
      </c>
      <c r="F778" s="7">
        <f t="shared" si="2"/>
        <v>0.1319802354</v>
      </c>
      <c r="G778" s="5">
        <f t="shared" si="3"/>
        <v>5.545921681</v>
      </c>
      <c r="H778" s="7">
        <f t="shared" si="4"/>
        <v>0.1319802354</v>
      </c>
      <c r="I778" s="2" t="str">
        <f t="shared" si="5"/>
        <v>2016-02</v>
      </c>
      <c r="J778" s="2">
        <f t="shared" si="6"/>
        <v>2016</v>
      </c>
      <c r="K778" s="2">
        <f t="shared" si="7"/>
        <v>1</v>
      </c>
      <c r="L778" s="2" t="str">
        <f t="shared" si="8"/>
        <v>Sun</v>
      </c>
    </row>
    <row r="779" ht="15.0" customHeight="1">
      <c r="A779" s="4">
        <v>42415.0</v>
      </c>
      <c r="B779" s="2">
        <v>123445.38</v>
      </c>
      <c r="C779" s="2">
        <v>108669.23</v>
      </c>
      <c r="D779" s="2">
        <v>2940.0</v>
      </c>
      <c r="E779" s="5">
        <f t="shared" si="1"/>
        <v>41.98822449</v>
      </c>
      <c r="F779" s="7">
        <f t="shared" si="2"/>
        <v>0.1196978777</v>
      </c>
      <c r="G779" s="5">
        <f t="shared" si="3"/>
        <v>5.025901361</v>
      </c>
      <c r="H779" s="7">
        <f t="shared" si="4"/>
        <v>0.1196978777</v>
      </c>
      <c r="I779" s="2" t="str">
        <f t="shared" si="5"/>
        <v>2016-02</v>
      </c>
      <c r="J779" s="2">
        <f t="shared" si="6"/>
        <v>2016</v>
      </c>
      <c r="K779" s="2">
        <f t="shared" si="7"/>
        <v>2</v>
      </c>
      <c r="L779" s="2" t="str">
        <f t="shared" si="8"/>
        <v>Mon</v>
      </c>
    </row>
    <row r="780" ht="15.0" customHeight="1">
      <c r="A780" s="4">
        <v>42416.0</v>
      </c>
      <c r="B780" s="2">
        <v>77344.69</v>
      </c>
      <c r="C780" s="2">
        <v>68269.25</v>
      </c>
      <c r="D780" s="2">
        <v>1841.0</v>
      </c>
      <c r="E780" s="5">
        <f t="shared" si="1"/>
        <v>42.01232482</v>
      </c>
      <c r="F780" s="7">
        <f t="shared" si="2"/>
        <v>0.1173375962</v>
      </c>
      <c r="G780" s="5">
        <f t="shared" si="3"/>
        <v>4.929625204</v>
      </c>
      <c r="H780" s="7">
        <f t="shared" si="4"/>
        <v>0.1173375962</v>
      </c>
      <c r="I780" s="2" t="str">
        <f t="shared" si="5"/>
        <v>2016-02</v>
      </c>
      <c r="J780" s="2">
        <f t="shared" si="6"/>
        <v>2016</v>
      </c>
      <c r="K780" s="2">
        <f t="shared" si="7"/>
        <v>3</v>
      </c>
      <c r="L780" s="2" t="str">
        <f t="shared" si="8"/>
        <v>Tue</v>
      </c>
    </row>
    <row r="781" ht="15.0" customHeight="1">
      <c r="A781" s="4">
        <v>42417.0</v>
      </c>
      <c r="B781" s="2">
        <v>158963.02</v>
      </c>
      <c r="C781" s="2">
        <v>167521.53</v>
      </c>
      <c r="D781" s="2">
        <v>4529.0</v>
      </c>
      <c r="E781" s="5">
        <f t="shared" si="1"/>
        <v>35.0989225</v>
      </c>
      <c r="F781" s="7">
        <f t="shared" si="2"/>
        <v>-0.05383962886</v>
      </c>
      <c r="G781" s="5">
        <f t="shared" si="3"/>
        <v>-1.889712961</v>
      </c>
      <c r="H781" s="7">
        <f t="shared" si="4"/>
        <v>-0.05383962886</v>
      </c>
      <c r="I781" s="2" t="str">
        <f t="shared" si="5"/>
        <v>2016-02</v>
      </c>
      <c r="J781" s="2">
        <f t="shared" si="6"/>
        <v>2016</v>
      </c>
      <c r="K781" s="2">
        <f t="shared" si="7"/>
        <v>4</v>
      </c>
      <c r="L781" s="2" t="str">
        <f t="shared" si="8"/>
        <v>Wed</v>
      </c>
    </row>
    <row r="782" ht="15.0" customHeight="1">
      <c r="A782" s="4">
        <v>42418.0</v>
      </c>
      <c r="B782" s="2">
        <v>69598.07</v>
      </c>
      <c r="C782" s="2">
        <v>61492.97</v>
      </c>
      <c r="D782" s="2">
        <v>1658.0</v>
      </c>
      <c r="E782" s="5">
        <f t="shared" si="1"/>
        <v>41.97712304</v>
      </c>
      <c r="F782" s="7">
        <f t="shared" si="2"/>
        <v>0.1164558155</v>
      </c>
      <c r="G782" s="5">
        <f t="shared" si="3"/>
        <v>4.888480097</v>
      </c>
      <c r="H782" s="7">
        <f t="shared" si="4"/>
        <v>0.1164558155</v>
      </c>
      <c r="I782" s="2" t="str">
        <f t="shared" si="5"/>
        <v>2016-02</v>
      </c>
      <c r="J782" s="2">
        <f t="shared" si="6"/>
        <v>2016</v>
      </c>
      <c r="K782" s="2">
        <f t="shared" si="7"/>
        <v>5</v>
      </c>
      <c r="L782" s="2" t="str">
        <f t="shared" si="8"/>
        <v>Thu</v>
      </c>
    </row>
    <row r="783" ht="15.0" customHeight="1">
      <c r="A783" s="4">
        <v>42419.0</v>
      </c>
      <c r="B783" s="2">
        <v>161275.6</v>
      </c>
      <c r="C783" s="2">
        <v>143446.36</v>
      </c>
      <c r="D783" s="2">
        <v>3841.0</v>
      </c>
      <c r="E783" s="5">
        <f t="shared" si="1"/>
        <v>41.98791981</v>
      </c>
      <c r="F783" s="7">
        <f t="shared" si="2"/>
        <v>0.1105513791</v>
      </c>
      <c r="G783" s="5">
        <f t="shared" si="3"/>
        <v>4.641822442</v>
      </c>
      <c r="H783" s="7">
        <f t="shared" si="4"/>
        <v>0.1105513791</v>
      </c>
      <c r="I783" s="2" t="str">
        <f t="shared" si="5"/>
        <v>2016-02</v>
      </c>
      <c r="J783" s="2">
        <f t="shared" si="6"/>
        <v>2016</v>
      </c>
      <c r="K783" s="2">
        <f t="shared" si="7"/>
        <v>6</v>
      </c>
      <c r="L783" s="2" t="str">
        <f t="shared" si="8"/>
        <v>Fri</v>
      </c>
    </row>
    <row r="784" ht="15.0" customHeight="1">
      <c r="A784" s="4">
        <v>42420.0</v>
      </c>
      <c r="B784" s="2">
        <v>325215.08</v>
      </c>
      <c r="C784" s="2">
        <v>345446.0</v>
      </c>
      <c r="D784" s="2">
        <v>9260.0</v>
      </c>
      <c r="E784" s="5">
        <f t="shared" si="1"/>
        <v>35.12041901</v>
      </c>
      <c r="F784" s="7">
        <f t="shared" si="2"/>
        <v>-0.06220781644</v>
      </c>
      <c r="G784" s="5">
        <f t="shared" si="3"/>
        <v>-2.184764579</v>
      </c>
      <c r="H784" s="7">
        <f t="shared" si="4"/>
        <v>-0.06220781644</v>
      </c>
      <c r="I784" s="2" t="str">
        <f t="shared" si="5"/>
        <v>2016-02</v>
      </c>
      <c r="J784" s="2">
        <f t="shared" si="6"/>
        <v>2016</v>
      </c>
      <c r="K784" s="2">
        <f t="shared" si="7"/>
        <v>7</v>
      </c>
      <c r="L784" s="2" t="str">
        <f t="shared" si="8"/>
        <v>Sat</v>
      </c>
    </row>
    <row r="785" ht="15.0" customHeight="1">
      <c r="A785" s="4">
        <v>42421.0</v>
      </c>
      <c r="B785" s="2">
        <v>96957.3</v>
      </c>
      <c r="C785" s="2">
        <v>86455.49</v>
      </c>
      <c r="D785" s="2">
        <v>2308.0</v>
      </c>
      <c r="E785" s="5">
        <f t="shared" si="1"/>
        <v>42.00922877</v>
      </c>
      <c r="F785" s="7">
        <f t="shared" si="2"/>
        <v>0.1083137629</v>
      </c>
      <c r="G785" s="5">
        <f t="shared" si="3"/>
        <v>4.550177643</v>
      </c>
      <c r="H785" s="7">
        <f t="shared" si="4"/>
        <v>0.1083137629</v>
      </c>
      <c r="I785" s="2" t="str">
        <f t="shared" si="5"/>
        <v>2016-02</v>
      </c>
      <c r="J785" s="2">
        <f t="shared" si="6"/>
        <v>2016</v>
      </c>
      <c r="K785" s="2">
        <f t="shared" si="7"/>
        <v>1</v>
      </c>
      <c r="L785" s="2" t="str">
        <f t="shared" si="8"/>
        <v>Sun</v>
      </c>
    </row>
    <row r="786" ht="15.0" customHeight="1">
      <c r="A786" s="4">
        <v>42422.0</v>
      </c>
      <c r="B786" s="2">
        <v>85224.48</v>
      </c>
      <c r="C786" s="2">
        <v>75960.72</v>
      </c>
      <c r="D786" s="2">
        <v>2028.0</v>
      </c>
      <c r="E786" s="5">
        <f t="shared" si="1"/>
        <v>42.02390533</v>
      </c>
      <c r="F786" s="7">
        <f t="shared" si="2"/>
        <v>0.1086983458</v>
      </c>
      <c r="G786" s="5">
        <f t="shared" si="3"/>
        <v>4.567928994</v>
      </c>
      <c r="H786" s="7">
        <f t="shared" si="4"/>
        <v>0.1086983458</v>
      </c>
      <c r="I786" s="2" t="str">
        <f t="shared" si="5"/>
        <v>2016-02</v>
      </c>
      <c r="J786" s="2">
        <f t="shared" si="6"/>
        <v>2016</v>
      </c>
      <c r="K786" s="2">
        <f t="shared" si="7"/>
        <v>2</v>
      </c>
      <c r="L786" s="2" t="str">
        <f t="shared" si="8"/>
        <v>Mon</v>
      </c>
    </row>
    <row r="787" ht="15.0" customHeight="1">
      <c r="A787" s="4">
        <v>42423.0</v>
      </c>
      <c r="B787" s="2">
        <v>54612.88</v>
      </c>
      <c r="C787" s="2">
        <v>49071.8</v>
      </c>
      <c r="D787" s="2">
        <v>1301.0</v>
      </c>
      <c r="E787" s="5">
        <f t="shared" si="1"/>
        <v>41.97761722</v>
      </c>
      <c r="F787" s="7">
        <f t="shared" si="2"/>
        <v>0.1014610473</v>
      </c>
      <c r="G787" s="5">
        <f t="shared" si="3"/>
        <v>4.259093005</v>
      </c>
      <c r="H787" s="7">
        <f t="shared" si="4"/>
        <v>0.1014610473</v>
      </c>
      <c r="I787" s="2" t="str">
        <f t="shared" si="5"/>
        <v>2016-02</v>
      </c>
      <c r="J787" s="2">
        <f t="shared" si="6"/>
        <v>2016</v>
      </c>
      <c r="K787" s="2">
        <f t="shared" si="7"/>
        <v>3</v>
      </c>
      <c r="L787" s="2" t="str">
        <f t="shared" si="8"/>
        <v>Tue</v>
      </c>
    </row>
    <row r="788" ht="15.0" customHeight="1">
      <c r="A788" s="4">
        <v>42424.0</v>
      </c>
      <c r="B788" s="2">
        <v>81530.61</v>
      </c>
      <c r="C788" s="2">
        <v>81738.06</v>
      </c>
      <c r="D788" s="2">
        <v>2213.0</v>
      </c>
      <c r="E788" s="5">
        <f t="shared" si="1"/>
        <v>36.84166742</v>
      </c>
      <c r="F788" s="7">
        <f t="shared" si="2"/>
        <v>-0.002544443124</v>
      </c>
      <c r="G788" s="5">
        <f t="shared" si="3"/>
        <v>-0.09374152734</v>
      </c>
      <c r="H788" s="7">
        <f t="shared" si="4"/>
        <v>-0.002544443124</v>
      </c>
      <c r="I788" s="2" t="str">
        <f t="shared" si="5"/>
        <v>2016-02</v>
      </c>
      <c r="J788" s="2">
        <f t="shared" si="6"/>
        <v>2016</v>
      </c>
      <c r="K788" s="2">
        <f t="shared" si="7"/>
        <v>4</v>
      </c>
      <c r="L788" s="2" t="str">
        <f t="shared" si="8"/>
        <v>Wed</v>
      </c>
    </row>
    <row r="789" ht="15.0" customHeight="1">
      <c r="A789" s="4">
        <v>42425.0</v>
      </c>
      <c r="B789" s="2">
        <v>160947.53</v>
      </c>
      <c r="C789" s="2">
        <v>162597.5</v>
      </c>
      <c r="D789" s="2">
        <v>4404.0</v>
      </c>
      <c r="E789" s="5">
        <f t="shared" si="1"/>
        <v>36.54576067</v>
      </c>
      <c r="F789" s="7">
        <f t="shared" si="2"/>
        <v>-0.01025160187</v>
      </c>
      <c r="G789" s="5">
        <f t="shared" si="3"/>
        <v>-0.3746525886</v>
      </c>
      <c r="H789" s="7">
        <f t="shared" si="4"/>
        <v>-0.01025160187</v>
      </c>
      <c r="I789" s="2" t="str">
        <f t="shared" si="5"/>
        <v>2016-02</v>
      </c>
      <c r="J789" s="2">
        <f t="shared" si="6"/>
        <v>2016</v>
      </c>
      <c r="K789" s="2">
        <f t="shared" si="7"/>
        <v>5</v>
      </c>
      <c r="L789" s="2" t="str">
        <f t="shared" si="8"/>
        <v>Thu</v>
      </c>
    </row>
    <row r="790" ht="15.0" customHeight="1">
      <c r="A790" s="4">
        <v>42426.0</v>
      </c>
      <c r="B790" s="2">
        <v>188736.25</v>
      </c>
      <c r="C790" s="2">
        <v>183103.23</v>
      </c>
      <c r="D790" s="2">
        <v>4935.0</v>
      </c>
      <c r="E790" s="5">
        <f t="shared" si="1"/>
        <v>38.24442756</v>
      </c>
      <c r="F790" s="7">
        <f t="shared" si="2"/>
        <v>0.02984598878</v>
      </c>
      <c r="G790" s="5">
        <f t="shared" si="3"/>
        <v>1.141442756</v>
      </c>
      <c r="H790" s="7">
        <f t="shared" si="4"/>
        <v>0.02984598878</v>
      </c>
      <c r="I790" s="2" t="str">
        <f t="shared" si="5"/>
        <v>2016-02</v>
      </c>
      <c r="J790" s="2">
        <f t="shared" si="6"/>
        <v>2016</v>
      </c>
      <c r="K790" s="2">
        <f t="shared" si="7"/>
        <v>6</v>
      </c>
      <c r="L790" s="2" t="str">
        <f t="shared" si="8"/>
        <v>Fri</v>
      </c>
    </row>
    <row r="791" ht="15.0" customHeight="1">
      <c r="A791" s="4">
        <v>42427.0</v>
      </c>
      <c r="B791" s="2">
        <v>215951.51</v>
      </c>
      <c r="C791" s="2">
        <v>210032.79</v>
      </c>
      <c r="D791" s="2">
        <v>5609.0</v>
      </c>
      <c r="E791" s="5">
        <f t="shared" si="1"/>
        <v>38.50089321</v>
      </c>
      <c r="F791" s="7">
        <f t="shared" si="2"/>
        <v>0.02740763424</v>
      </c>
      <c r="G791" s="5">
        <f t="shared" si="3"/>
        <v>1.055218399</v>
      </c>
      <c r="H791" s="7">
        <f t="shared" si="4"/>
        <v>0.02740763424</v>
      </c>
      <c r="I791" s="2" t="str">
        <f t="shared" si="5"/>
        <v>2016-02</v>
      </c>
      <c r="J791" s="2">
        <f t="shared" si="6"/>
        <v>2016</v>
      </c>
      <c r="K791" s="2">
        <f t="shared" si="7"/>
        <v>7</v>
      </c>
      <c r="L791" s="2" t="str">
        <f t="shared" si="8"/>
        <v>Sat</v>
      </c>
    </row>
    <row r="792" ht="15.0" customHeight="1">
      <c r="A792" s="4">
        <v>42428.0</v>
      </c>
      <c r="B792" s="2">
        <v>134995.85</v>
      </c>
      <c r="C792" s="2">
        <v>129938.71</v>
      </c>
      <c r="D792" s="2">
        <v>3452.0</v>
      </c>
      <c r="E792" s="5">
        <f t="shared" si="1"/>
        <v>39.10656141</v>
      </c>
      <c r="F792" s="7">
        <f t="shared" si="2"/>
        <v>0.03746144789</v>
      </c>
      <c r="G792" s="5">
        <f t="shared" si="3"/>
        <v>1.464988413</v>
      </c>
      <c r="H792" s="7">
        <f t="shared" si="4"/>
        <v>0.03746144789</v>
      </c>
      <c r="I792" s="2" t="str">
        <f t="shared" si="5"/>
        <v>2016-02</v>
      </c>
      <c r="J792" s="2">
        <f t="shared" si="6"/>
        <v>2016</v>
      </c>
      <c r="K792" s="2">
        <f t="shared" si="7"/>
        <v>1</v>
      </c>
      <c r="L792" s="2" t="str">
        <f t="shared" si="8"/>
        <v>Sun</v>
      </c>
    </row>
    <row r="793" ht="15.0" customHeight="1">
      <c r="A793" s="4">
        <v>42429.0</v>
      </c>
      <c r="B793" s="2">
        <v>163079.38</v>
      </c>
      <c r="C793" s="2">
        <v>160332.59</v>
      </c>
      <c r="D793" s="2">
        <v>4270.0</v>
      </c>
      <c r="E793" s="5">
        <f t="shared" si="1"/>
        <v>38.19189227</v>
      </c>
      <c r="F793" s="7">
        <f t="shared" si="2"/>
        <v>0.01684326982</v>
      </c>
      <c r="G793" s="5">
        <f t="shared" si="3"/>
        <v>0.6432763466</v>
      </c>
      <c r="H793" s="7">
        <f t="shared" si="4"/>
        <v>0.01684326982</v>
      </c>
      <c r="I793" s="2" t="str">
        <f t="shared" si="5"/>
        <v>2016-02</v>
      </c>
      <c r="J793" s="2">
        <f t="shared" si="6"/>
        <v>2016</v>
      </c>
      <c r="K793" s="2">
        <f t="shared" si="7"/>
        <v>2</v>
      </c>
      <c r="L793" s="2" t="str">
        <f t="shared" si="8"/>
        <v>Mon</v>
      </c>
    </row>
    <row r="794" ht="15.0" customHeight="1">
      <c r="A794" s="4">
        <v>42430.0</v>
      </c>
      <c r="B794" s="2">
        <v>180828.67</v>
      </c>
      <c r="C794" s="2">
        <v>182962.34</v>
      </c>
      <c r="D794" s="2">
        <v>4719.0</v>
      </c>
      <c r="E794" s="5">
        <f t="shared" si="1"/>
        <v>38.31927739</v>
      </c>
      <c r="F794" s="7">
        <f t="shared" si="2"/>
        <v>-0.01179940106</v>
      </c>
      <c r="G794" s="5">
        <f t="shared" si="3"/>
        <v>-0.4521445221</v>
      </c>
      <c r="H794" s="7">
        <f t="shared" si="4"/>
        <v>-0.01179940106</v>
      </c>
      <c r="I794" s="2" t="str">
        <f t="shared" si="5"/>
        <v>2016-03</v>
      </c>
      <c r="J794" s="2">
        <f t="shared" si="6"/>
        <v>2016</v>
      </c>
      <c r="K794" s="2">
        <f t="shared" si="7"/>
        <v>3</v>
      </c>
      <c r="L794" s="2" t="str">
        <f t="shared" si="8"/>
        <v>Tue</v>
      </c>
    </row>
    <row r="795" ht="15.0" customHeight="1">
      <c r="A795" s="4">
        <v>42431.0</v>
      </c>
      <c r="B795" s="2">
        <v>171196.18</v>
      </c>
      <c r="C795" s="2">
        <v>174428.68</v>
      </c>
      <c r="D795" s="2">
        <v>4451.0</v>
      </c>
      <c r="E795" s="5">
        <f t="shared" si="1"/>
        <v>38.46240845</v>
      </c>
      <c r="F795" s="7">
        <f t="shared" si="2"/>
        <v>-0.01888184655</v>
      </c>
      <c r="G795" s="5">
        <f t="shared" si="3"/>
        <v>-0.7262412941</v>
      </c>
      <c r="H795" s="7">
        <f t="shared" si="4"/>
        <v>-0.01888184655</v>
      </c>
      <c r="I795" s="2" t="str">
        <f t="shared" si="5"/>
        <v>2016-03</v>
      </c>
      <c r="J795" s="2">
        <f t="shared" si="6"/>
        <v>2016</v>
      </c>
      <c r="K795" s="2">
        <f t="shared" si="7"/>
        <v>4</v>
      </c>
      <c r="L795" s="2" t="str">
        <f t="shared" si="8"/>
        <v>Wed</v>
      </c>
    </row>
    <row r="796" ht="15.0" customHeight="1">
      <c r="A796" s="4">
        <v>42432.0</v>
      </c>
      <c r="B796" s="2">
        <v>129719.05</v>
      </c>
      <c r="C796" s="2">
        <v>131961.93</v>
      </c>
      <c r="D796" s="2">
        <v>3364.0</v>
      </c>
      <c r="E796" s="5">
        <f t="shared" si="1"/>
        <v>38.56095422</v>
      </c>
      <c r="F796" s="7">
        <f t="shared" si="2"/>
        <v>-0.01729029005</v>
      </c>
      <c r="G796" s="5">
        <f t="shared" si="3"/>
        <v>-0.6667300832</v>
      </c>
      <c r="H796" s="7">
        <f t="shared" si="4"/>
        <v>-0.01729029005</v>
      </c>
      <c r="I796" s="2" t="str">
        <f t="shared" si="5"/>
        <v>2016-03</v>
      </c>
      <c r="J796" s="2">
        <f t="shared" si="6"/>
        <v>2016</v>
      </c>
      <c r="K796" s="2">
        <f t="shared" si="7"/>
        <v>5</v>
      </c>
      <c r="L796" s="2" t="str">
        <f t="shared" si="8"/>
        <v>Thu</v>
      </c>
    </row>
    <row r="797" ht="15.0" customHeight="1">
      <c r="A797" s="4">
        <v>42433.0</v>
      </c>
      <c r="B797" s="2">
        <v>142127.64</v>
      </c>
      <c r="C797" s="2">
        <v>144039.41</v>
      </c>
      <c r="D797" s="2">
        <v>3665.0</v>
      </c>
      <c r="E797" s="5">
        <f t="shared" si="1"/>
        <v>38.77971078</v>
      </c>
      <c r="F797" s="7">
        <f t="shared" si="2"/>
        <v>-0.0134510782</v>
      </c>
      <c r="G797" s="5">
        <f t="shared" si="3"/>
        <v>-0.5216289222</v>
      </c>
      <c r="H797" s="7">
        <f t="shared" si="4"/>
        <v>-0.0134510782</v>
      </c>
      <c r="I797" s="2" t="str">
        <f t="shared" si="5"/>
        <v>2016-03</v>
      </c>
      <c r="J797" s="2">
        <f t="shared" si="6"/>
        <v>2016</v>
      </c>
      <c r="K797" s="2">
        <f t="shared" si="7"/>
        <v>6</v>
      </c>
      <c r="L797" s="2" t="str">
        <f t="shared" si="8"/>
        <v>Fri</v>
      </c>
    </row>
    <row r="798" ht="15.0" customHeight="1">
      <c r="A798" s="4">
        <v>42434.0</v>
      </c>
      <c r="B798" s="2">
        <v>152124.41</v>
      </c>
      <c r="C798" s="2">
        <v>153377.51</v>
      </c>
      <c r="D798" s="2">
        <v>3889.0</v>
      </c>
      <c r="E798" s="5">
        <f t="shared" si="1"/>
        <v>39.11658781</v>
      </c>
      <c r="F798" s="7">
        <f t="shared" si="2"/>
        <v>-0.008237336796</v>
      </c>
      <c r="G798" s="5">
        <f t="shared" si="3"/>
        <v>-0.3222165081</v>
      </c>
      <c r="H798" s="7">
        <f t="shared" si="4"/>
        <v>-0.008237336796</v>
      </c>
      <c r="I798" s="2" t="str">
        <f t="shared" si="5"/>
        <v>2016-03</v>
      </c>
      <c r="J798" s="2">
        <f t="shared" si="6"/>
        <v>2016</v>
      </c>
      <c r="K798" s="2">
        <f t="shared" si="7"/>
        <v>7</v>
      </c>
      <c r="L798" s="2" t="str">
        <f t="shared" si="8"/>
        <v>Sat</v>
      </c>
    </row>
    <row r="799" ht="15.0" customHeight="1">
      <c r="A799" s="4">
        <v>42435.0</v>
      </c>
      <c r="B799" s="2">
        <v>74132.79</v>
      </c>
      <c r="C799" s="2">
        <v>74332.28</v>
      </c>
      <c r="D799" s="2">
        <v>1882.0</v>
      </c>
      <c r="E799" s="5">
        <f t="shared" si="1"/>
        <v>39.39043039</v>
      </c>
      <c r="F799" s="7">
        <f t="shared" si="2"/>
        <v>-0.002690981953</v>
      </c>
      <c r="G799" s="5">
        <f t="shared" si="3"/>
        <v>-0.1059989373</v>
      </c>
      <c r="H799" s="7">
        <f t="shared" si="4"/>
        <v>-0.002690981953</v>
      </c>
      <c r="I799" s="2" t="str">
        <f t="shared" si="5"/>
        <v>2016-03</v>
      </c>
      <c r="J799" s="2">
        <f t="shared" si="6"/>
        <v>2016</v>
      </c>
      <c r="K799" s="2">
        <f t="shared" si="7"/>
        <v>1</v>
      </c>
      <c r="L799" s="2" t="str">
        <f t="shared" si="8"/>
        <v>Sun</v>
      </c>
    </row>
    <row r="800" ht="15.0" customHeight="1">
      <c r="A800" s="4">
        <v>42436.0</v>
      </c>
      <c r="B800" s="2">
        <v>91143.03</v>
      </c>
      <c r="C800" s="2">
        <v>95167.53</v>
      </c>
      <c r="D800" s="2">
        <v>2405.0</v>
      </c>
      <c r="E800" s="5">
        <f t="shared" si="1"/>
        <v>37.89730977</v>
      </c>
      <c r="F800" s="7">
        <f t="shared" si="2"/>
        <v>-0.04415587237</v>
      </c>
      <c r="G800" s="5">
        <f t="shared" si="3"/>
        <v>-1.673388773</v>
      </c>
      <c r="H800" s="7">
        <f t="shared" si="4"/>
        <v>-0.04415587237</v>
      </c>
      <c r="I800" s="2" t="str">
        <f t="shared" si="5"/>
        <v>2016-03</v>
      </c>
      <c r="J800" s="2">
        <f t="shared" si="6"/>
        <v>2016</v>
      </c>
      <c r="K800" s="2">
        <f t="shared" si="7"/>
        <v>2</v>
      </c>
      <c r="L800" s="2" t="str">
        <f t="shared" si="8"/>
        <v>Mon</v>
      </c>
    </row>
    <row r="801" ht="15.0" customHeight="1">
      <c r="A801" s="4">
        <v>42437.0</v>
      </c>
      <c r="B801" s="2">
        <v>60528.09</v>
      </c>
      <c r="C801" s="2">
        <v>62342.88</v>
      </c>
      <c r="D801" s="2">
        <v>1577.0</v>
      </c>
      <c r="E801" s="5">
        <f t="shared" si="1"/>
        <v>38.38179455</v>
      </c>
      <c r="F801" s="7">
        <f t="shared" si="2"/>
        <v>-0.02998260808</v>
      </c>
      <c r="G801" s="5">
        <f t="shared" si="3"/>
        <v>-1.150786303</v>
      </c>
      <c r="H801" s="7">
        <f t="shared" si="4"/>
        <v>-0.02998260808</v>
      </c>
      <c r="I801" s="2" t="str">
        <f t="shared" si="5"/>
        <v>2016-03</v>
      </c>
      <c r="J801" s="2">
        <f t="shared" si="6"/>
        <v>2016</v>
      </c>
      <c r="K801" s="2">
        <f t="shared" si="7"/>
        <v>3</v>
      </c>
      <c r="L801" s="2" t="str">
        <f t="shared" si="8"/>
        <v>Tue</v>
      </c>
    </row>
    <row r="802" ht="15.0" customHeight="1">
      <c r="A802" s="4">
        <v>42438.0</v>
      </c>
      <c r="B802" s="2">
        <v>38340.6</v>
      </c>
      <c r="C802" s="2">
        <v>35918.34</v>
      </c>
      <c r="D802" s="2">
        <v>913.0</v>
      </c>
      <c r="E802" s="5">
        <f t="shared" si="1"/>
        <v>41.99408543</v>
      </c>
      <c r="F802" s="7">
        <f t="shared" si="2"/>
        <v>0.06317741506</v>
      </c>
      <c r="G802" s="5">
        <f t="shared" si="3"/>
        <v>2.653077766</v>
      </c>
      <c r="H802" s="7">
        <f t="shared" si="4"/>
        <v>0.06317741506</v>
      </c>
      <c r="I802" s="2" t="str">
        <f t="shared" si="5"/>
        <v>2016-03</v>
      </c>
      <c r="J802" s="2">
        <f t="shared" si="6"/>
        <v>2016</v>
      </c>
      <c r="K802" s="2">
        <f t="shared" si="7"/>
        <v>4</v>
      </c>
      <c r="L802" s="2" t="str">
        <f t="shared" si="8"/>
        <v>Wed</v>
      </c>
    </row>
    <row r="803" ht="15.0" customHeight="1">
      <c r="A803" s="4">
        <v>42439.0</v>
      </c>
      <c r="B803" s="2">
        <v>37453.01</v>
      </c>
      <c r="C803" s="2">
        <v>35108.2</v>
      </c>
      <c r="D803" s="2">
        <v>892.0</v>
      </c>
      <c r="E803" s="5">
        <f t="shared" si="1"/>
        <v>41.98767937</v>
      </c>
      <c r="F803" s="7">
        <f t="shared" si="2"/>
        <v>0.06260671706</v>
      </c>
      <c r="G803" s="5">
        <f t="shared" si="3"/>
        <v>2.628710762</v>
      </c>
      <c r="H803" s="7">
        <f t="shared" si="4"/>
        <v>0.06260671706</v>
      </c>
      <c r="I803" s="2" t="str">
        <f t="shared" si="5"/>
        <v>2016-03</v>
      </c>
      <c r="J803" s="2">
        <f t="shared" si="6"/>
        <v>2016</v>
      </c>
      <c r="K803" s="2">
        <f t="shared" si="7"/>
        <v>5</v>
      </c>
      <c r="L803" s="2" t="str">
        <f t="shared" si="8"/>
        <v>Thu</v>
      </c>
    </row>
    <row r="804" ht="15.0" customHeight="1">
      <c r="A804" s="4">
        <v>42440.0</v>
      </c>
      <c r="B804" s="2">
        <v>77997.05</v>
      </c>
      <c r="C804" s="2">
        <v>73051.68</v>
      </c>
      <c r="D804" s="2">
        <v>1855.0</v>
      </c>
      <c r="E804" s="5">
        <f t="shared" si="1"/>
        <v>42.04692722</v>
      </c>
      <c r="F804" s="7">
        <f t="shared" si="2"/>
        <v>0.06340457748</v>
      </c>
      <c r="G804" s="5">
        <f t="shared" si="3"/>
        <v>2.665967655</v>
      </c>
      <c r="H804" s="7">
        <f t="shared" si="4"/>
        <v>0.06340457748</v>
      </c>
      <c r="I804" s="2" t="str">
        <f t="shared" si="5"/>
        <v>2016-03</v>
      </c>
      <c r="J804" s="2">
        <f t="shared" si="6"/>
        <v>2016</v>
      </c>
      <c r="K804" s="2">
        <f t="shared" si="7"/>
        <v>6</v>
      </c>
      <c r="L804" s="2" t="str">
        <f t="shared" si="8"/>
        <v>Fri</v>
      </c>
    </row>
    <row r="805" ht="15.0" customHeight="1">
      <c r="A805" s="4">
        <v>42441.0</v>
      </c>
      <c r="B805" s="2">
        <v>79752.28</v>
      </c>
      <c r="C805" s="2">
        <v>74962.82</v>
      </c>
      <c r="D805" s="2">
        <v>1897.0</v>
      </c>
      <c r="E805" s="5">
        <f t="shared" si="1"/>
        <v>42.04126516</v>
      </c>
      <c r="F805" s="7">
        <f t="shared" si="2"/>
        <v>0.06005420785</v>
      </c>
      <c r="G805" s="5">
        <f t="shared" si="3"/>
        <v>2.524754876</v>
      </c>
      <c r="H805" s="7">
        <f t="shared" si="4"/>
        <v>0.06005420785</v>
      </c>
      <c r="I805" s="2" t="str">
        <f t="shared" si="5"/>
        <v>2016-03</v>
      </c>
      <c r="J805" s="2">
        <f t="shared" si="6"/>
        <v>2016</v>
      </c>
      <c r="K805" s="2">
        <f t="shared" si="7"/>
        <v>7</v>
      </c>
      <c r="L805" s="2" t="str">
        <f t="shared" si="8"/>
        <v>Sat</v>
      </c>
    </row>
    <row r="806" ht="15.0" customHeight="1">
      <c r="A806" s="4">
        <v>42442.0</v>
      </c>
      <c r="B806" s="2">
        <v>37155.59</v>
      </c>
      <c r="C806" s="2">
        <v>34962.83</v>
      </c>
      <c r="D806" s="2">
        <v>883.0</v>
      </c>
      <c r="E806" s="5">
        <f t="shared" si="1"/>
        <v>42.07881087</v>
      </c>
      <c r="F806" s="7">
        <f t="shared" si="2"/>
        <v>0.05901561515</v>
      </c>
      <c r="G806" s="5">
        <f t="shared" si="3"/>
        <v>2.483306908</v>
      </c>
      <c r="H806" s="7">
        <f t="shared" si="4"/>
        <v>0.05901561515</v>
      </c>
      <c r="I806" s="2" t="str">
        <f t="shared" si="5"/>
        <v>2016-03</v>
      </c>
      <c r="J806" s="2">
        <f t="shared" si="6"/>
        <v>2016</v>
      </c>
      <c r="K806" s="2">
        <f t="shared" si="7"/>
        <v>1</v>
      </c>
      <c r="L806" s="2" t="str">
        <f t="shared" si="8"/>
        <v>Sun</v>
      </c>
    </row>
    <row r="807" ht="15.0" customHeight="1">
      <c r="A807" s="4">
        <v>42443.0</v>
      </c>
      <c r="B807" s="2">
        <v>45046.51</v>
      </c>
      <c r="C807" s="2">
        <v>42368.05</v>
      </c>
      <c r="D807" s="2">
        <v>1071.0</v>
      </c>
      <c r="E807" s="5">
        <f t="shared" si="1"/>
        <v>42.06023343</v>
      </c>
      <c r="F807" s="7">
        <f t="shared" si="2"/>
        <v>0.05945987825</v>
      </c>
      <c r="G807" s="5">
        <f t="shared" si="3"/>
        <v>2.500896359</v>
      </c>
      <c r="H807" s="7">
        <f t="shared" si="4"/>
        <v>0.05945987825</v>
      </c>
      <c r="I807" s="2" t="str">
        <f t="shared" si="5"/>
        <v>2016-03</v>
      </c>
      <c r="J807" s="2">
        <f t="shared" si="6"/>
        <v>2016</v>
      </c>
      <c r="K807" s="2">
        <f t="shared" si="7"/>
        <v>2</v>
      </c>
      <c r="L807" s="2" t="str">
        <f t="shared" si="8"/>
        <v>Mon</v>
      </c>
    </row>
    <row r="808" ht="15.0" customHeight="1">
      <c r="A808" s="4">
        <v>42444.0</v>
      </c>
      <c r="B808" s="2">
        <v>55489.33</v>
      </c>
      <c r="C808" s="2">
        <v>52263.06</v>
      </c>
      <c r="D808" s="2">
        <v>1320.0</v>
      </c>
      <c r="E808" s="5">
        <f t="shared" si="1"/>
        <v>42.03737121</v>
      </c>
      <c r="F808" s="7">
        <f t="shared" si="2"/>
        <v>0.05814216895</v>
      </c>
      <c r="G808" s="5">
        <f t="shared" si="3"/>
        <v>2.444143939</v>
      </c>
      <c r="H808" s="7">
        <f t="shared" si="4"/>
        <v>0.05814216895</v>
      </c>
      <c r="I808" s="2" t="str">
        <f t="shared" si="5"/>
        <v>2016-03</v>
      </c>
      <c r="J808" s="2">
        <f t="shared" si="6"/>
        <v>2016</v>
      </c>
      <c r="K808" s="2">
        <f t="shared" si="7"/>
        <v>3</v>
      </c>
      <c r="L808" s="2" t="str">
        <f t="shared" si="8"/>
        <v>Tue</v>
      </c>
    </row>
    <row r="809" ht="15.0" customHeight="1">
      <c r="A809" s="4">
        <v>42445.0</v>
      </c>
      <c r="B809" s="2">
        <v>41893.3</v>
      </c>
      <c r="C809" s="2">
        <v>39495.46</v>
      </c>
      <c r="D809" s="2">
        <v>997.0</v>
      </c>
      <c r="E809" s="5">
        <f t="shared" si="1"/>
        <v>42.01935807</v>
      </c>
      <c r="F809" s="7">
        <f t="shared" si="2"/>
        <v>0.05723683739</v>
      </c>
      <c r="G809" s="5">
        <f t="shared" si="3"/>
        <v>2.405055165</v>
      </c>
      <c r="H809" s="7">
        <f t="shared" si="4"/>
        <v>0.05723683739</v>
      </c>
      <c r="I809" s="2" t="str">
        <f t="shared" si="5"/>
        <v>2016-03</v>
      </c>
      <c r="J809" s="2">
        <f t="shared" si="6"/>
        <v>2016</v>
      </c>
      <c r="K809" s="2">
        <f t="shared" si="7"/>
        <v>4</v>
      </c>
      <c r="L809" s="2" t="str">
        <f t="shared" si="8"/>
        <v>Wed</v>
      </c>
    </row>
    <row r="810" ht="15.0" customHeight="1">
      <c r="A810" s="4">
        <v>42446.0</v>
      </c>
      <c r="B810" s="2">
        <v>34348.5</v>
      </c>
      <c r="C810" s="2">
        <v>32292.84</v>
      </c>
      <c r="D810" s="2">
        <v>817.0</v>
      </c>
      <c r="E810" s="5">
        <f t="shared" si="1"/>
        <v>42.04222766</v>
      </c>
      <c r="F810" s="7">
        <f t="shared" si="2"/>
        <v>0.0598471549</v>
      </c>
      <c r="G810" s="5">
        <f t="shared" si="3"/>
        <v>2.516107711</v>
      </c>
      <c r="H810" s="7">
        <f t="shared" si="4"/>
        <v>0.0598471549</v>
      </c>
      <c r="I810" s="2" t="str">
        <f t="shared" si="5"/>
        <v>2016-03</v>
      </c>
      <c r="J810" s="2">
        <f t="shared" si="6"/>
        <v>2016</v>
      </c>
      <c r="K810" s="2">
        <f t="shared" si="7"/>
        <v>5</v>
      </c>
      <c r="L810" s="2" t="str">
        <f t="shared" si="8"/>
        <v>Thu</v>
      </c>
    </row>
    <row r="811" ht="15.0" customHeight="1">
      <c r="A811" s="4">
        <v>42447.0</v>
      </c>
      <c r="B811" s="2">
        <v>78276.83</v>
      </c>
      <c r="C811" s="2">
        <v>73746.76</v>
      </c>
      <c r="D811" s="2">
        <v>1866.0</v>
      </c>
      <c r="E811" s="5">
        <f t="shared" si="1"/>
        <v>41.94899786</v>
      </c>
      <c r="F811" s="7">
        <f t="shared" si="2"/>
        <v>0.05787242534</v>
      </c>
      <c r="G811" s="5">
        <f t="shared" si="3"/>
        <v>2.427690247</v>
      </c>
      <c r="H811" s="7">
        <f t="shared" si="4"/>
        <v>0.05787242534</v>
      </c>
      <c r="I811" s="2" t="str">
        <f t="shared" si="5"/>
        <v>2016-03</v>
      </c>
      <c r="J811" s="2">
        <f t="shared" si="6"/>
        <v>2016</v>
      </c>
      <c r="K811" s="2">
        <f t="shared" si="7"/>
        <v>6</v>
      </c>
      <c r="L811" s="2" t="str">
        <f t="shared" si="8"/>
        <v>Fri</v>
      </c>
    </row>
    <row r="812" ht="15.0" customHeight="1">
      <c r="A812" s="4">
        <v>42448.0</v>
      </c>
      <c r="B812" s="2">
        <v>92851.4</v>
      </c>
      <c r="C812" s="2">
        <v>87451.57</v>
      </c>
      <c r="D812" s="2">
        <v>2211.0</v>
      </c>
      <c r="E812" s="5">
        <f t="shared" si="1"/>
        <v>41.99520579</v>
      </c>
      <c r="F812" s="7">
        <f t="shared" si="2"/>
        <v>0.05815561209</v>
      </c>
      <c r="G812" s="5">
        <f t="shared" si="3"/>
        <v>2.442256897</v>
      </c>
      <c r="H812" s="7">
        <f t="shared" si="4"/>
        <v>0.05815561209</v>
      </c>
      <c r="I812" s="2" t="str">
        <f t="shared" si="5"/>
        <v>2016-03</v>
      </c>
      <c r="J812" s="2">
        <f t="shared" si="6"/>
        <v>2016</v>
      </c>
      <c r="K812" s="2">
        <f t="shared" si="7"/>
        <v>7</v>
      </c>
      <c r="L812" s="2" t="str">
        <f t="shared" si="8"/>
        <v>Sat</v>
      </c>
    </row>
    <row r="813" ht="15.0" customHeight="1">
      <c r="A813" s="4">
        <v>42449.0</v>
      </c>
      <c r="B813" s="2">
        <v>54845.79</v>
      </c>
      <c r="C813" s="2">
        <v>51625.51</v>
      </c>
      <c r="D813" s="2">
        <v>1304.0</v>
      </c>
      <c r="E813" s="5">
        <f t="shared" si="1"/>
        <v>42.05965491</v>
      </c>
      <c r="F813" s="7">
        <f t="shared" si="2"/>
        <v>0.05871517212</v>
      </c>
      <c r="G813" s="5">
        <f t="shared" si="3"/>
        <v>2.469539877</v>
      </c>
      <c r="H813" s="7">
        <f t="shared" si="4"/>
        <v>0.05871517212</v>
      </c>
      <c r="I813" s="2" t="str">
        <f t="shared" si="5"/>
        <v>2016-03</v>
      </c>
      <c r="J813" s="2">
        <f t="shared" si="6"/>
        <v>2016</v>
      </c>
      <c r="K813" s="2">
        <f t="shared" si="7"/>
        <v>1</v>
      </c>
      <c r="L813" s="2" t="str">
        <f t="shared" si="8"/>
        <v>Sun</v>
      </c>
    </row>
    <row r="814" ht="15.0" customHeight="1">
      <c r="A814" s="4">
        <v>42450.0</v>
      </c>
      <c r="B814" s="2">
        <v>48037.8</v>
      </c>
      <c r="C814" s="2">
        <v>45187.64</v>
      </c>
      <c r="D814" s="2">
        <v>1143.0</v>
      </c>
      <c r="E814" s="5">
        <f t="shared" si="1"/>
        <v>42.02782152</v>
      </c>
      <c r="F814" s="7">
        <f t="shared" si="2"/>
        <v>0.05933160969</v>
      </c>
      <c r="G814" s="5">
        <f t="shared" si="3"/>
        <v>2.493578303</v>
      </c>
      <c r="H814" s="7">
        <f t="shared" si="4"/>
        <v>0.05933160969</v>
      </c>
      <c r="I814" s="2" t="str">
        <f t="shared" si="5"/>
        <v>2016-03</v>
      </c>
      <c r="J814" s="2">
        <f t="shared" si="6"/>
        <v>2016</v>
      </c>
      <c r="K814" s="2">
        <f t="shared" si="7"/>
        <v>2</v>
      </c>
      <c r="L814" s="2" t="str">
        <f t="shared" si="8"/>
        <v>Mon</v>
      </c>
    </row>
    <row r="815" ht="15.0" customHeight="1">
      <c r="A815" s="4">
        <v>42451.0</v>
      </c>
      <c r="B815" s="2">
        <v>65905.72</v>
      </c>
      <c r="C815" s="2">
        <v>62023.88</v>
      </c>
      <c r="D815" s="2">
        <v>1573.0</v>
      </c>
      <c r="E815" s="5">
        <f t="shared" si="1"/>
        <v>41.89810553</v>
      </c>
      <c r="F815" s="7">
        <f t="shared" si="2"/>
        <v>0.05889989518</v>
      </c>
      <c r="G815" s="5">
        <f t="shared" si="3"/>
        <v>2.467794024</v>
      </c>
      <c r="H815" s="7">
        <f t="shared" si="4"/>
        <v>0.05889989518</v>
      </c>
      <c r="I815" s="2" t="str">
        <f t="shared" si="5"/>
        <v>2016-03</v>
      </c>
      <c r="J815" s="2">
        <f t="shared" si="6"/>
        <v>2016</v>
      </c>
      <c r="K815" s="2">
        <f t="shared" si="7"/>
        <v>3</v>
      </c>
      <c r="L815" s="2" t="str">
        <f t="shared" si="8"/>
        <v>Tue</v>
      </c>
    </row>
    <row r="816" ht="15.0" customHeight="1">
      <c r="A816" s="4">
        <v>42452.0</v>
      </c>
      <c r="B816" s="2">
        <v>84870.05</v>
      </c>
      <c r="C816" s="2">
        <v>81472.83</v>
      </c>
      <c r="D816" s="2">
        <v>2065.0</v>
      </c>
      <c r="E816" s="5">
        <f t="shared" si="1"/>
        <v>41.09929782</v>
      </c>
      <c r="F816" s="7">
        <f t="shared" si="2"/>
        <v>0.04002849062</v>
      </c>
      <c r="G816" s="5">
        <f t="shared" si="3"/>
        <v>1.645142857</v>
      </c>
      <c r="H816" s="7">
        <f t="shared" si="4"/>
        <v>0.04002849062</v>
      </c>
      <c r="I816" s="2" t="str">
        <f t="shared" si="5"/>
        <v>2016-03</v>
      </c>
      <c r="J816" s="2">
        <f t="shared" si="6"/>
        <v>2016</v>
      </c>
      <c r="K816" s="2">
        <f t="shared" si="7"/>
        <v>4</v>
      </c>
      <c r="L816" s="2" t="str">
        <f t="shared" si="8"/>
        <v>Wed</v>
      </c>
    </row>
    <row r="817" ht="15.0" customHeight="1">
      <c r="A817" s="4">
        <v>42453.0</v>
      </c>
      <c r="B817" s="2">
        <v>262459.51</v>
      </c>
      <c r="C817" s="2">
        <v>259298.46</v>
      </c>
      <c r="D817" s="2">
        <v>6588.0</v>
      </c>
      <c r="E817" s="5">
        <f t="shared" si="1"/>
        <v>39.83902702</v>
      </c>
      <c r="F817" s="7">
        <f t="shared" si="2"/>
        <v>0.01204395299</v>
      </c>
      <c r="G817" s="5">
        <f t="shared" si="3"/>
        <v>0.4798193685</v>
      </c>
      <c r="H817" s="7">
        <f t="shared" si="4"/>
        <v>0.01204395299</v>
      </c>
      <c r="I817" s="2" t="str">
        <f t="shared" si="5"/>
        <v>2016-03</v>
      </c>
      <c r="J817" s="2">
        <f t="shared" si="6"/>
        <v>2016</v>
      </c>
      <c r="K817" s="2">
        <f t="shared" si="7"/>
        <v>5</v>
      </c>
      <c r="L817" s="2" t="str">
        <f t="shared" si="8"/>
        <v>Thu</v>
      </c>
    </row>
    <row r="818" ht="15.0" customHeight="1">
      <c r="A818" s="4">
        <v>42454.0</v>
      </c>
      <c r="B818" s="2">
        <v>228124.4</v>
      </c>
      <c r="C818" s="2">
        <v>222208.35</v>
      </c>
      <c r="D818" s="2">
        <v>5652.0</v>
      </c>
      <c r="E818" s="5">
        <f t="shared" si="1"/>
        <v>40.36171267</v>
      </c>
      <c r="F818" s="7">
        <f t="shared" si="2"/>
        <v>0.02593343807</v>
      </c>
      <c r="G818" s="5">
        <f t="shared" si="3"/>
        <v>1.046717976</v>
      </c>
      <c r="H818" s="7">
        <f t="shared" si="4"/>
        <v>0.02593343807</v>
      </c>
      <c r="I818" s="2" t="str">
        <f t="shared" si="5"/>
        <v>2016-03</v>
      </c>
      <c r="J818" s="2">
        <f t="shared" si="6"/>
        <v>2016</v>
      </c>
      <c r="K818" s="2">
        <f t="shared" si="7"/>
        <v>6</v>
      </c>
      <c r="L818" s="2" t="str">
        <f t="shared" si="8"/>
        <v>Fri</v>
      </c>
    </row>
    <row r="819" ht="15.0" customHeight="1">
      <c r="A819" s="4">
        <v>42455.0</v>
      </c>
      <c r="B819" s="2">
        <v>162929.49</v>
      </c>
      <c r="C819" s="2">
        <v>161434.82</v>
      </c>
      <c r="D819" s="2">
        <v>4103.0</v>
      </c>
      <c r="E819" s="5">
        <f t="shared" si="1"/>
        <v>39.70984402</v>
      </c>
      <c r="F819" s="7">
        <f t="shared" si="2"/>
        <v>0.00917372294</v>
      </c>
      <c r="G819" s="5">
        <f t="shared" si="3"/>
        <v>0.364287107</v>
      </c>
      <c r="H819" s="7">
        <f t="shared" si="4"/>
        <v>0.00917372294</v>
      </c>
      <c r="I819" s="2" t="str">
        <f t="shared" si="5"/>
        <v>2016-03</v>
      </c>
      <c r="J819" s="2">
        <f t="shared" si="6"/>
        <v>2016</v>
      </c>
      <c r="K819" s="2">
        <f t="shared" si="7"/>
        <v>7</v>
      </c>
      <c r="L819" s="2" t="str">
        <f t="shared" si="8"/>
        <v>Sat</v>
      </c>
    </row>
    <row r="820" ht="15.0" customHeight="1">
      <c r="A820" s="4">
        <v>42456.0</v>
      </c>
      <c r="B820" s="2">
        <v>58359.83</v>
      </c>
      <c r="C820" s="2">
        <v>57681.57</v>
      </c>
      <c r="D820" s="2">
        <v>1466.0</v>
      </c>
      <c r="E820" s="5">
        <f t="shared" si="1"/>
        <v>39.80888813</v>
      </c>
      <c r="F820" s="7">
        <f t="shared" si="2"/>
        <v>0.01162203523</v>
      </c>
      <c r="G820" s="5">
        <f t="shared" si="3"/>
        <v>0.4626603001</v>
      </c>
      <c r="H820" s="7">
        <f t="shared" si="4"/>
        <v>0.01162203523</v>
      </c>
      <c r="I820" s="2" t="str">
        <f t="shared" si="5"/>
        <v>2016-03</v>
      </c>
      <c r="J820" s="2">
        <f t="shared" si="6"/>
        <v>2016</v>
      </c>
      <c r="K820" s="2">
        <f t="shared" si="7"/>
        <v>1</v>
      </c>
      <c r="L820" s="2" t="str">
        <f t="shared" si="8"/>
        <v>Sun</v>
      </c>
    </row>
    <row r="821" ht="15.0" customHeight="1">
      <c r="A821" s="4">
        <v>42457.0</v>
      </c>
      <c r="B821" s="2">
        <v>85605.33</v>
      </c>
      <c r="C821" s="2">
        <v>85022.38</v>
      </c>
      <c r="D821" s="2">
        <v>2162.0</v>
      </c>
      <c r="E821" s="5">
        <f t="shared" si="1"/>
        <v>39.59543478</v>
      </c>
      <c r="F821" s="7">
        <f t="shared" si="2"/>
        <v>0.006809739534</v>
      </c>
      <c r="G821" s="5">
        <f t="shared" si="3"/>
        <v>0.2696345976</v>
      </c>
      <c r="H821" s="7">
        <f t="shared" si="4"/>
        <v>0.006809739534</v>
      </c>
      <c r="I821" s="2" t="str">
        <f t="shared" si="5"/>
        <v>2016-03</v>
      </c>
      <c r="J821" s="2">
        <f t="shared" si="6"/>
        <v>2016</v>
      </c>
      <c r="K821" s="2">
        <f t="shared" si="7"/>
        <v>2</v>
      </c>
      <c r="L821" s="2" t="str">
        <f t="shared" si="8"/>
        <v>Mon</v>
      </c>
    </row>
    <row r="822" ht="15.0" customHeight="1">
      <c r="A822" s="4">
        <v>42458.0</v>
      </c>
      <c r="B822" s="2">
        <v>84836.41</v>
      </c>
      <c r="C822" s="2">
        <v>84595.22</v>
      </c>
      <c r="D822" s="2">
        <v>2155.0</v>
      </c>
      <c r="E822" s="5">
        <f t="shared" si="1"/>
        <v>39.36724362</v>
      </c>
      <c r="F822" s="7">
        <f t="shared" si="2"/>
        <v>0.002843001018</v>
      </c>
      <c r="G822" s="5">
        <f t="shared" si="3"/>
        <v>0.1119211137</v>
      </c>
      <c r="H822" s="7">
        <f t="shared" si="4"/>
        <v>0.002843001018</v>
      </c>
      <c r="I822" s="2" t="str">
        <f t="shared" si="5"/>
        <v>2016-03</v>
      </c>
      <c r="J822" s="2">
        <f t="shared" si="6"/>
        <v>2016</v>
      </c>
      <c r="K822" s="2">
        <f t="shared" si="7"/>
        <v>3</v>
      </c>
      <c r="L822" s="2" t="str">
        <f t="shared" si="8"/>
        <v>Tue</v>
      </c>
    </row>
    <row r="823" ht="15.0" customHeight="1">
      <c r="A823" s="4">
        <v>42459.0</v>
      </c>
      <c r="B823" s="2">
        <v>64308.91</v>
      </c>
      <c r="C823" s="2">
        <v>68427.59</v>
      </c>
      <c r="D823" s="2">
        <v>1746.0</v>
      </c>
      <c r="E823" s="5">
        <f t="shared" si="1"/>
        <v>36.83213631</v>
      </c>
      <c r="F823" s="7">
        <f t="shared" si="2"/>
        <v>-0.06404524661</v>
      </c>
      <c r="G823" s="5">
        <f t="shared" si="3"/>
        <v>-2.358923253</v>
      </c>
      <c r="H823" s="7">
        <f t="shared" si="4"/>
        <v>-0.06404524661</v>
      </c>
      <c r="I823" s="2" t="str">
        <f t="shared" si="5"/>
        <v>2016-03</v>
      </c>
      <c r="J823" s="2">
        <f t="shared" si="6"/>
        <v>2016</v>
      </c>
      <c r="K823" s="2">
        <f t="shared" si="7"/>
        <v>4</v>
      </c>
      <c r="L823" s="2" t="str">
        <f t="shared" si="8"/>
        <v>Wed</v>
      </c>
    </row>
    <row r="824" ht="15.0" customHeight="1">
      <c r="A824" s="4">
        <v>42460.0</v>
      </c>
      <c r="B824" s="2">
        <v>131168.49</v>
      </c>
      <c r="C824" s="2">
        <v>138589.1</v>
      </c>
      <c r="D824" s="2">
        <v>3554.0</v>
      </c>
      <c r="E824" s="5">
        <f t="shared" si="1"/>
        <v>36.90728475</v>
      </c>
      <c r="F824" s="7">
        <f t="shared" si="2"/>
        <v>-0.05657311447</v>
      </c>
      <c r="G824" s="5">
        <f t="shared" si="3"/>
        <v>-2.087960045</v>
      </c>
      <c r="H824" s="7">
        <f t="shared" si="4"/>
        <v>-0.05657311447</v>
      </c>
      <c r="I824" s="2" t="str">
        <f t="shared" si="5"/>
        <v>2016-03</v>
      </c>
      <c r="J824" s="2">
        <f t="shared" si="6"/>
        <v>2016</v>
      </c>
      <c r="K824" s="2">
        <f t="shared" si="7"/>
        <v>5</v>
      </c>
      <c r="L824" s="2" t="str">
        <f t="shared" si="8"/>
        <v>Thu</v>
      </c>
    </row>
    <row r="825" ht="15.0" customHeight="1">
      <c r="A825" s="4">
        <v>42461.0</v>
      </c>
      <c r="B825" s="2">
        <v>232410.2</v>
      </c>
      <c r="C825" s="2">
        <v>245358.63</v>
      </c>
      <c r="D825" s="2">
        <v>6282.0</v>
      </c>
      <c r="E825" s="5">
        <f t="shared" si="1"/>
        <v>36.9962114</v>
      </c>
      <c r="F825" s="7">
        <f t="shared" si="2"/>
        <v>-0.05571369071</v>
      </c>
      <c r="G825" s="5">
        <f t="shared" si="3"/>
        <v>-2.061195479</v>
      </c>
      <c r="H825" s="7">
        <f t="shared" si="4"/>
        <v>-0.05571369071</v>
      </c>
      <c r="I825" s="2" t="str">
        <f t="shared" si="5"/>
        <v>2016-04</v>
      </c>
      <c r="J825" s="2">
        <f t="shared" si="6"/>
        <v>2016</v>
      </c>
      <c r="K825" s="2">
        <f t="shared" si="7"/>
        <v>6</v>
      </c>
      <c r="L825" s="2" t="str">
        <f t="shared" si="8"/>
        <v>Fri</v>
      </c>
    </row>
    <row r="826" ht="15.0" customHeight="1">
      <c r="A826" s="4">
        <v>42462.0</v>
      </c>
      <c r="B826" s="2">
        <v>195831.1</v>
      </c>
      <c r="C826" s="2">
        <v>205442.83</v>
      </c>
      <c r="D826" s="2">
        <v>5259.0</v>
      </c>
      <c r="E826" s="5">
        <f t="shared" si="1"/>
        <v>37.23732649</v>
      </c>
      <c r="F826" s="7">
        <f t="shared" si="2"/>
        <v>-0.04908173421</v>
      </c>
      <c r="G826" s="5">
        <f t="shared" si="3"/>
        <v>-1.827672561</v>
      </c>
      <c r="H826" s="7">
        <f t="shared" si="4"/>
        <v>-0.04908173421</v>
      </c>
      <c r="I826" s="2" t="str">
        <f t="shared" si="5"/>
        <v>2016-04</v>
      </c>
      <c r="J826" s="2">
        <f t="shared" si="6"/>
        <v>2016</v>
      </c>
      <c r="K826" s="2">
        <f t="shared" si="7"/>
        <v>7</v>
      </c>
      <c r="L826" s="2" t="str">
        <f t="shared" si="8"/>
        <v>Sat</v>
      </c>
    </row>
    <row r="827" ht="15.0" customHeight="1">
      <c r="A827" s="4">
        <v>42463.0</v>
      </c>
      <c r="B827" s="2">
        <v>90716.55</v>
      </c>
      <c r="C827" s="2">
        <v>95543.13</v>
      </c>
      <c r="D827" s="2">
        <v>2446.0</v>
      </c>
      <c r="E827" s="5">
        <f t="shared" si="1"/>
        <v>37.08771464</v>
      </c>
      <c r="F827" s="7">
        <f t="shared" si="2"/>
        <v>-0.05320506567</v>
      </c>
      <c r="G827" s="5">
        <f t="shared" si="3"/>
        <v>-1.973254293</v>
      </c>
      <c r="H827" s="7">
        <f t="shared" si="4"/>
        <v>-0.05320506567</v>
      </c>
      <c r="I827" s="2" t="str">
        <f t="shared" si="5"/>
        <v>2016-04</v>
      </c>
      <c r="J827" s="2">
        <f t="shared" si="6"/>
        <v>2016</v>
      </c>
      <c r="K827" s="2">
        <f t="shared" si="7"/>
        <v>1</v>
      </c>
      <c r="L827" s="2" t="str">
        <f t="shared" si="8"/>
        <v>Sun</v>
      </c>
    </row>
    <row r="828" ht="15.0" customHeight="1">
      <c r="A828" s="4">
        <v>42464.0</v>
      </c>
      <c r="B828" s="2">
        <v>131638.02</v>
      </c>
      <c r="C828" s="2">
        <v>130700.19</v>
      </c>
      <c r="D828" s="2">
        <v>3345.0</v>
      </c>
      <c r="E828" s="5">
        <f t="shared" si="1"/>
        <v>39.35366816</v>
      </c>
      <c r="F828" s="7">
        <f t="shared" si="2"/>
        <v>0.007124309527</v>
      </c>
      <c r="G828" s="5">
        <f t="shared" si="3"/>
        <v>0.280367713</v>
      </c>
      <c r="H828" s="7">
        <f t="shared" si="4"/>
        <v>0.007124309527</v>
      </c>
      <c r="I828" s="2" t="str">
        <f t="shared" si="5"/>
        <v>2016-04</v>
      </c>
      <c r="J828" s="2">
        <f t="shared" si="6"/>
        <v>2016</v>
      </c>
      <c r="K828" s="2">
        <f t="shared" si="7"/>
        <v>2</v>
      </c>
      <c r="L828" s="2" t="str">
        <f t="shared" si="8"/>
        <v>Mon</v>
      </c>
    </row>
    <row r="829" ht="15.0" customHeight="1">
      <c r="A829" s="4">
        <v>42465.0</v>
      </c>
      <c r="B829" s="2">
        <v>81910.87</v>
      </c>
      <c r="C829" s="2">
        <v>79969.51</v>
      </c>
      <c r="D829" s="2">
        <v>2048.0</v>
      </c>
      <c r="E829" s="5">
        <f t="shared" si="1"/>
        <v>39.99554199</v>
      </c>
      <c r="F829" s="7">
        <f t="shared" si="2"/>
        <v>0.02370088366</v>
      </c>
      <c r="G829" s="5">
        <f t="shared" si="3"/>
        <v>0.9479296875</v>
      </c>
      <c r="H829" s="7">
        <f t="shared" si="4"/>
        <v>0.02370088366</v>
      </c>
      <c r="I829" s="2" t="str">
        <f t="shared" si="5"/>
        <v>2016-04</v>
      </c>
      <c r="J829" s="2">
        <f t="shared" si="6"/>
        <v>2016</v>
      </c>
      <c r="K829" s="2">
        <f t="shared" si="7"/>
        <v>3</v>
      </c>
      <c r="L829" s="2" t="str">
        <f t="shared" si="8"/>
        <v>Tue</v>
      </c>
    </row>
    <row r="830" ht="15.0" customHeight="1">
      <c r="A830" s="4">
        <v>42466.0</v>
      </c>
      <c r="B830" s="2">
        <v>54821.91</v>
      </c>
      <c r="C830" s="2">
        <v>50800.01</v>
      </c>
      <c r="D830" s="2">
        <v>1303.0</v>
      </c>
      <c r="E830" s="5">
        <f t="shared" si="1"/>
        <v>42.07360706</v>
      </c>
      <c r="F830" s="7">
        <f t="shared" si="2"/>
        <v>0.07336300395</v>
      </c>
      <c r="G830" s="5">
        <f t="shared" si="3"/>
        <v>3.086646201</v>
      </c>
      <c r="H830" s="7">
        <f t="shared" si="4"/>
        <v>0.07336300395</v>
      </c>
      <c r="I830" s="2" t="str">
        <f t="shared" si="5"/>
        <v>2016-04</v>
      </c>
      <c r="J830" s="2">
        <f t="shared" si="6"/>
        <v>2016</v>
      </c>
      <c r="K830" s="2">
        <f t="shared" si="7"/>
        <v>4</v>
      </c>
      <c r="L830" s="2" t="str">
        <f t="shared" si="8"/>
        <v>Wed</v>
      </c>
    </row>
    <row r="831" ht="15.0" customHeight="1">
      <c r="A831" s="4">
        <v>42467.0</v>
      </c>
      <c r="B831" s="2">
        <v>155615.42</v>
      </c>
      <c r="C831" s="2">
        <v>171592.13</v>
      </c>
      <c r="D831" s="2">
        <v>4413.0</v>
      </c>
      <c r="E831" s="5">
        <f t="shared" si="1"/>
        <v>35.26295491</v>
      </c>
      <c r="F831" s="7">
        <f t="shared" si="2"/>
        <v>-0.1026679104</v>
      </c>
      <c r="G831" s="5">
        <f t="shared" si="3"/>
        <v>-3.620373895</v>
      </c>
      <c r="H831" s="7">
        <f t="shared" si="4"/>
        <v>-0.1026679104</v>
      </c>
      <c r="I831" s="2" t="str">
        <f t="shared" si="5"/>
        <v>2016-04</v>
      </c>
      <c r="J831" s="2">
        <f t="shared" si="6"/>
        <v>2016</v>
      </c>
      <c r="K831" s="2">
        <f t="shared" si="7"/>
        <v>5</v>
      </c>
      <c r="L831" s="2" t="str">
        <f t="shared" si="8"/>
        <v>Thu</v>
      </c>
    </row>
    <row r="832" ht="15.0" customHeight="1">
      <c r="A832" s="4">
        <v>42468.0</v>
      </c>
      <c r="B832" s="2">
        <v>264086.89</v>
      </c>
      <c r="C832" s="2">
        <v>291378.58</v>
      </c>
      <c r="D832" s="2">
        <v>7494.0</v>
      </c>
      <c r="E832" s="5">
        <f t="shared" si="1"/>
        <v>35.23977716</v>
      </c>
      <c r="F832" s="7">
        <f t="shared" si="2"/>
        <v>-0.1033436003</v>
      </c>
      <c r="G832" s="5">
        <f t="shared" si="3"/>
        <v>-3.641805444</v>
      </c>
      <c r="H832" s="7">
        <f t="shared" si="4"/>
        <v>-0.1033436003</v>
      </c>
      <c r="I832" s="2" t="str">
        <f t="shared" si="5"/>
        <v>2016-04</v>
      </c>
      <c r="J832" s="2">
        <f t="shared" si="6"/>
        <v>2016</v>
      </c>
      <c r="K832" s="2">
        <f t="shared" si="7"/>
        <v>6</v>
      </c>
      <c r="L832" s="2" t="str">
        <f t="shared" si="8"/>
        <v>Fri</v>
      </c>
    </row>
    <row r="833" ht="15.0" customHeight="1">
      <c r="A833" s="4">
        <v>42469.0</v>
      </c>
      <c r="B833" s="2">
        <v>272761.3</v>
      </c>
      <c r="C833" s="2">
        <v>298164.42</v>
      </c>
      <c r="D833" s="2">
        <v>7738.0</v>
      </c>
      <c r="E833" s="5">
        <f t="shared" si="1"/>
        <v>35.24958646</v>
      </c>
      <c r="F833" s="7">
        <f t="shared" si="2"/>
        <v>-0.09313315342</v>
      </c>
      <c r="G833" s="5">
        <f t="shared" si="3"/>
        <v>-3.282905143</v>
      </c>
      <c r="H833" s="7">
        <f t="shared" si="4"/>
        <v>-0.09313315342</v>
      </c>
      <c r="I833" s="2" t="str">
        <f t="shared" si="5"/>
        <v>2016-04</v>
      </c>
      <c r="J833" s="2">
        <f t="shared" si="6"/>
        <v>2016</v>
      </c>
      <c r="K833" s="2">
        <f t="shared" si="7"/>
        <v>7</v>
      </c>
      <c r="L833" s="2" t="str">
        <f t="shared" si="8"/>
        <v>Sat</v>
      </c>
    </row>
    <row r="834" ht="15.0" customHeight="1">
      <c r="A834" s="4">
        <v>42470.0</v>
      </c>
      <c r="B834" s="2">
        <v>104689.43</v>
      </c>
      <c r="C834" s="2">
        <v>113609.3</v>
      </c>
      <c r="D834" s="2">
        <v>2958.0</v>
      </c>
      <c r="E834" s="5">
        <f t="shared" si="1"/>
        <v>35.39196416</v>
      </c>
      <c r="F834" s="7">
        <f t="shared" si="2"/>
        <v>-0.08520315757</v>
      </c>
      <c r="G834" s="5">
        <f t="shared" si="3"/>
        <v>-3.015507099</v>
      </c>
      <c r="H834" s="7">
        <f t="shared" si="4"/>
        <v>-0.08520315757</v>
      </c>
      <c r="I834" s="2" t="str">
        <f t="shared" si="5"/>
        <v>2016-04</v>
      </c>
      <c r="J834" s="2">
        <f t="shared" si="6"/>
        <v>2016</v>
      </c>
      <c r="K834" s="2">
        <f t="shared" si="7"/>
        <v>1</v>
      </c>
      <c r="L834" s="2" t="str">
        <f t="shared" si="8"/>
        <v>Sun</v>
      </c>
    </row>
    <row r="835" ht="15.0" customHeight="1">
      <c r="A835" s="4">
        <v>42471.0</v>
      </c>
      <c r="B835" s="2">
        <v>131170.6</v>
      </c>
      <c r="C835" s="2">
        <v>142022.81</v>
      </c>
      <c r="D835" s="2">
        <v>3713.0</v>
      </c>
      <c r="E835" s="5">
        <f t="shared" si="1"/>
        <v>35.32739025</v>
      </c>
      <c r="F835" s="7">
        <f t="shared" si="2"/>
        <v>-0.08273355462</v>
      </c>
      <c r="G835" s="5">
        <f t="shared" si="3"/>
        <v>-2.922760571</v>
      </c>
      <c r="H835" s="7">
        <f t="shared" si="4"/>
        <v>-0.08273355462</v>
      </c>
      <c r="I835" s="2" t="str">
        <f t="shared" si="5"/>
        <v>2016-04</v>
      </c>
      <c r="J835" s="2">
        <f t="shared" si="6"/>
        <v>2016</v>
      </c>
      <c r="K835" s="2">
        <f t="shared" si="7"/>
        <v>2</v>
      </c>
      <c r="L835" s="2" t="str">
        <f t="shared" si="8"/>
        <v>Mon</v>
      </c>
    </row>
    <row r="836" ht="15.0" customHeight="1">
      <c r="A836" s="4">
        <v>42472.0</v>
      </c>
      <c r="B836" s="2">
        <v>123179.49</v>
      </c>
      <c r="C836" s="2">
        <v>132714.96</v>
      </c>
      <c r="D836" s="2">
        <v>3504.0</v>
      </c>
      <c r="E836" s="5">
        <f t="shared" si="1"/>
        <v>35.15396404</v>
      </c>
      <c r="F836" s="7">
        <f t="shared" si="2"/>
        <v>-0.07741118266</v>
      </c>
      <c r="G836" s="5">
        <f t="shared" si="3"/>
        <v>-2.721309932</v>
      </c>
      <c r="H836" s="7">
        <f t="shared" si="4"/>
        <v>-0.07741118266</v>
      </c>
      <c r="I836" s="2" t="str">
        <f t="shared" si="5"/>
        <v>2016-04</v>
      </c>
      <c r="J836" s="2">
        <f t="shared" si="6"/>
        <v>2016</v>
      </c>
      <c r="K836" s="2">
        <f t="shared" si="7"/>
        <v>3</v>
      </c>
      <c r="L836" s="2" t="str">
        <f t="shared" si="8"/>
        <v>Tue</v>
      </c>
    </row>
    <row r="837" ht="15.0" customHeight="1">
      <c r="A837" s="4">
        <v>42473.0</v>
      </c>
      <c r="B837" s="2">
        <v>124431.05</v>
      </c>
      <c r="C837" s="2">
        <v>132889.06</v>
      </c>
      <c r="D837" s="2">
        <v>3534.0</v>
      </c>
      <c r="E837" s="5">
        <f t="shared" si="1"/>
        <v>35.20969157</v>
      </c>
      <c r="F837" s="7">
        <f t="shared" si="2"/>
        <v>-0.06797346804</v>
      </c>
      <c r="G837" s="5">
        <f t="shared" si="3"/>
        <v>-2.393324844</v>
      </c>
      <c r="H837" s="7">
        <f t="shared" si="4"/>
        <v>-0.06797346804</v>
      </c>
      <c r="I837" s="2" t="str">
        <f t="shared" si="5"/>
        <v>2016-04</v>
      </c>
      <c r="J837" s="2">
        <f t="shared" si="6"/>
        <v>2016</v>
      </c>
      <c r="K837" s="2">
        <f t="shared" si="7"/>
        <v>4</v>
      </c>
      <c r="L837" s="2" t="str">
        <f t="shared" si="8"/>
        <v>Wed</v>
      </c>
    </row>
    <row r="838" ht="15.0" customHeight="1">
      <c r="A838" s="4">
        <v>42474.0</v>
      </c>
      <c r="B838" s="2">
        <v>162166.84</v>
      </c>
      <c r="C838" s="2">
        <v>172225.65</v>
      </c>
      <c r="D838" s="2">
        <v>4601.0</v>
      </c>
      <c r="E838" s="5">
        <f t="shared" si="1"/>
        <v>35.2459987</v>
      </c>
      <c r="F838" s="7">
        <f t="shared" si="2"/>
        <v>-0.06202753905</v>
      </c>
      <c r="G838" s="5">
        <f t="shared" si="3"/>
        <v>-2.18622256</v>
      </c>
      <c r="H838" s="7">
        <f t="shared" si="4"/>
        <v>-0.06202753905</v>
      </c>
      <c r="I838" s="2" t="str">
        <f t="shared" si="5"/>
        <v>2016-04</v>
      </c>
      <c r="J838" s="2">
        <f t="shared" si="6"/>
        <v>2016</v>
      </c>
      <c r="K838" s="2">
        <f t="shared" si="7"/>
        <v>5</v>
      </c>
      <c r="L838" s="2" t="str">
        <f t="shared" si="8"/>
        <v>Thu</v>
      </c>
    </row>
    <row r="839" ht="15.0" customHeight="1">
      <c r="A839" s="4">
        <v>42475.0</v>
      </c>
      <c r="B839" s="2">
        <v>354042.02</v>
      </c>
      <c r="C839" s="2">
        <v>373200.31</v>
      </c>
      <c r="D839" s="2">
        <v>10045.0</v>
      </c>
      <c r="E839" s="5">
        <f t="shared" si="1"/>
        <v>35.24559681</v>
      </c>
      <c r="F839" s="7">
        <f t="shared" si="2"/>
        <v>-0.05411304003</v>
      </c>
      <c r="G839" s="5">
        <f t="shared" si="3"/>
        <v>-1.907246391</v>
      </c>
      <c r="H839" s="7">
        <f t="shared" si="4"/>
        <v>-0.05411304003</v>
      </c>
      <c r="I839" s="2" t="str">
        <f t="shared" si="5"/>
        <v>2016-04</v>
      </c>
      <c r="J839" s="2">
        <f t="shared" si="6"/>
        <v>2016</v>
      </c>
      <c r="K839" s="2">
        <f t="shared" si="7"/>
        <v>6</v>
      </c>
      <c r="L839" s="2" t="str">
        <f t="shared" si="8"/>
        <v>Fri</v>
      </c>
    </row>
    <row r="840" ht="15.0" customHeight="1">
      <c r="A840" s="4">
        <v>42476.0</v>
      </c>
      <c r="B840" s="2">
        <v>327352.26</v>
      </c>
      <c r="C840" s="2">
        <v>345338.63</v>
      </c>
      <c r="D840" s="2">
        <v>9301.0</v>
      </c>
      <c r="E840" s="5">
        <f t="shared" si="1"/>
        <v>35.19538329</v>
      </c>
      <c r="F840" s="7">
        <f t="shared" si="2"/>
        <v>-0.05494500023</v>
      </c>
      <c r="G840" s="5">
        <f t="shared" si="3"/>
        <v>-1.933810343</v>
      </c>
      <c r="H840" s="7">
        <f t="shared" si="4"/>
        <v>-0.05494500023</v>
      </c>
      <c r="I840" s="2" t="str">
        <f t="shared" si="5"/>
        <v>2016-04</v>
      </c>
      <c r="J840" s="2">
        <f t="shared" si="6"/>
        <v>2016</v>
      </c>
      <c r="K840" s="2">
        <f t="shared" si="7"/>
        <v>7</v>
      </c>
      <c r="L840" s="2" t="str">
        <f t="shared" si="8"/>
        <v>Sat</v>
      </c>
    </row>
    <row r="841" ht="15.0" customHeight="1">
      <c r="A841" s="4">
        <v>42477.0</v>
      </c>
      <c r="B841" s="2">
        <v>164809.3</v>
      </c>
      <c r="C841" s="2">
        <v>175167.43</v>
      </c>
      <c r="D841" s="2">
        <v>4678.0</v>
      </c>
      <c r="E841" s="5">
        <f t="shared" si="1"/>
        <v>35.23071826</v>
      </c>
      <c r="F841" s="7">
        <f t="shared" si="2"/>
        <v>-0.06284918387</v>
      </c>
      <c r="G841" s="5">
        <f t="shared" si="3"/>
        <v>-2.21422189</v>
      </c>
      <c r="H841" s="7">
        <f t="shared" si="4"/>
        <v>-0.06284918387</v>
      </c>
      <c r="I841" s="2" t="str">
        <f t="shared" si="5"/>
        <v>2016-04</v>
      </c>
      <c r="J841" s="2">
        <f t="shared" si="6"/>
        <v>2016</v>
      </c>
      <c r="K841" s="2">
        <f t="shared" si="7"/>
        <v>1</v>
      </c>
      <c r="L841" s="2" t="str">
        <f t="shared" si="8"/>
        <v>Sun</v>
      </c>
    </row>
    <row r="842" ht="15.0" customHeight="1">
      <c r="A842" s="4">
        <v>42478.0</v>
      </c>
      <c r="B842" s="2">
        <v>151157.79</v>
      </c>
      <c r="C842" s="2">
        <v>159828.77</v>
      </c>
      <c r="D842" s="2">
        <v>4294.0</v>
      </c>
      <c r="E842" s="5">
        <f t="shared" si="1"/>
        <v>35.20209362</v>
      </c>
      <c r="F842" s="7">
        <f t="shared" si="2"/>
        <v>-0.05736376537</v>
      </c>
      <c r="G842" s="5">
        <f t="shared" si="3"/>
        <v>-2.019324639</v>
      </c>
      <c r="H842" s="7">
        <f t="shared" si="4"/>
        <v>-0.05736376537</v>
      </c>
      <c r="I842" s="2" t="str">
        <f t="shared" si="5"/>
        <v>2016-04</v>
      </c>
      <c r="J842" s="2">
        <f t="shared" si="6"/>
        <v>2016</v>
      </c>
      <c r="K842" s="2">
        <f t="shared" si="7"/>
        <v>2</v>
      </c>
      <c r="L842" s="2" t="str">
        <f t="shared" si="8"/>
        <v>Mon</v>
      </c>
    </row>
    <row r="843" ht="15.0" customHeight="1">
      <c r="A843" s="4">
        <v>42479.0</v>
      </c>
      <c r="B843" s="2">
        <v>126895.94</v>
      </c>
      <c r="C843" s="2">
        <v>133726.28</v>
      </c>
      <c r="D843" s="2">
        <v>3606.0</v>
      </c>
      <c r="E843" s="5">
        <f t="shared" si="1"/>
        <v>35.19022185</v>
      </c>
      <c r="F843" s="7">
        <f t="shared" si="2"/>
        <v>-0.05382630839</v>
      </c>
      <c r="G843" s="5">
        <f t="shared" si="3"/>
        <v>-1.894159734</v>
      </c>
      <c r="H843" s="7">
        <f t="shared" si="4"/>
        <v>-0.05382630839</v>
      </c>
      <c r="I843" s="2" t="str">
        <f t="shared" si="5"/>
        <v>2016-04</v>
      </c>
      <c r="J843" s="2">
        <f t="shared" si="6"/>
        <v>2016</v>
      </c>
      <c r="K843" s="2">
        <f t="shared" si="7"/>
        <v>3</v>
      </c>
      <c r="L843" s="2" t="str">
        <f t="shared" si="8"/>
        <v>Tue</v>
      </c>
    </row>
    <row r="844" ht="15.0" customHeight="1">
      <c r="A844" s="4">
        <v>42480.0</v>
      </c>
      <c r="B844" s="2">
        <v>166395.45</v>
      </c>
      <c r="C844" s="2">
        <v>179020.54</v>
      </c>
      <c r="D844" s="2">
        <v>4838.0</v>
      </c>
      <c r="E844" s="5">
        <f t="shared" si="1"/>
        <v>34.39343737</v>
      </c>
      <c r="F844" s="7">
        <f t="shared" si="2"/>
        <v>-0.07587400978</v>
      </c>
      <c r="G844" s="5">
        <f t="shared" si="3"/>
        <v>-2.609568003</v>
      </c>
      <c r="H844" s="7">
        <f t="shared" si="4"/>
        <v>-0.07587400978</v>
      </c>
      <c r="I844" s="2" t="str">
        <f t="shared" si="5"/>
        <v>2016-04</v>
      </c>
      <c r="J844" s="2">
        <f t="shared" si="6"/>
        <v>2016</v>
      </c>
      <c r="K844" s="2">
        <f t="shared" si="7"/>
        <v>4</v>
      </c>
      <c r="L844" s="2" t="str">
        <f t="shared" si="8"/>
        <v>Wed</v>
      </c>
    </row>
    <row r="845" ht="15.0" customHeight="1">
      <c r="A845" s="4">
        <v>42481.0</v>
      </c>
      <c r="B845" s="2">
        <v>167796.35</v>
      </c>
      <c r="C845" s="2">
        <v>182485.1</v>
      </c>
      <c r="D845" s="2">
        <v>4914.0</v>
      </c>
      <c r="E845" s="5">
        <f t="shared" si="1"/>
        <v>34.14659137</v>
      </c>
      <c r="F845" s="7">
        <f t="shared" si="2"/>
        <v>-0.08753915088</v>
      </c>
      <c r="G845" s="5">
        <f t="shared" si="3"/>
        <v>-2.989163614</v>
      </c>
      <c r="H845" s="7">
        <f t="shared" si="4"/>
        <v>-0.08753915088</v>
      </c>
      <c r="I845" s="2" t="str">
        <f t="shared" si="5"/>
        <v>2016-04</v>
      </c>
      <c r="J845" s="2">
        <f t="shared" si="6"/>
        <v>2016</v>
      </c>
      <c r="K845" s="2">
        <f t="shared" si="7"/>
        <v>5</v>
      </c>
      <c r="L845" s="2" t="str">
        <f t="shared" si="8"/>
        <v>Thu</v>
      </c>
    </row>
    <row r="846" ht="15.0" customHeight="1">
      <c r="A846" s="4">
        <v>42482.0</v>
      </c>
      <c r="B846" s="2">
        <v>351146.02</v>
      </c>
      <c r="C846" s="2">
        <v>380098.16</v>
      </c>
      <c r="D846" s="2">
        <v>10269.0</v>
      </c>
      <c r="E846" s="5">
        <f t="shared" si="1"/>
        <v>34.19476288</v>
      </c>
      <c r="F846" s="7">
        <f t="shared" si="2"/>
        <v>-0.08245042903</v>
      </c>
      <c r="G846" s="5">
        <f t="shared" si="3"/>
        <v>-2.81937287</v>
      </c>
      <c r="H846" s="7">
        <f t="shared" si="4"/>
        <v>-0.08245042903</v>
      </c>
      <c r="I846" s="2" t="str">
        <f t="shared" si="5"/>
        <v>2016-04</v>
      </c>
      <c r="J846" s="2">
        <f t="shared" si="6"/>
        <v>2016</v>
      </c>
      <c r="K846" s="2">
        <f t="shared" si="7"/>
        <v>6</v>
      </c>
      <c r="L846" s="2" t="str">
        <f t="shared" si="8"/>
        <v>Fri</v>
      </c>
    </row>
    <row r="847" ht="15.0" customHeight="1">
      <c r="A847" s="4">
        <v>42483.0</v>
      </c>
      <c r="B847" s="2">
        <v>420738.82</v>
      </c>
      <c r="C847" s="2">
        <v>455415.35</v>
      </c>
      <c r="D847" s="2">
        <v>12317.0</v>
      </c>
      <c r="E847" s="5">
        <f t="shared" si="1"/>
        <v>34.15919623</v>
      </c>
      <c r="F847" s="7">
        <f t="shared" si="2"/>
        <v>-0.08241818523</v>
      </c>
      <c r="G847" s="5">
        <f t="shared" si="3"/>
        <v>-2.815338962</v>
      </c>
      <c r="H847" s="7">
        <f t="shared" si="4"/>
        <v>-0.08241818523</v>
      </c>
      <c r="I847" s="2" t="str">
        <f t="shared" si="5"/>
        <v>2016-04</v>
      </c>
      <c r="J847" s="2">
        <f t="shared" si="6"/>
        <v>2016</v>
      </c>
      <c r="K847" s="2">
        <f t="shared" si="7"/>
        <v>7</v>
      </c>
      <c r="L847" s="2" t="str">
        <f t="shared" si="8"/>
        <v>Sat</v>
      </c>
    </row>
    <row r="848" ht="15.0" customHeight="1">
      <c r="A848" s="4">
        <v>42484.0</v>
      </c>
      <c r="B848" s="2">
        <v>186166.15</v>
      </c>
      <c r="C848" s="2">
        <v>202391.18</v>
      </c>
      <c r="D848" s="2">
        <v>5453.0</v>
      </c>
      <c r="E848" s="5">
        <f t="shared" si="1"/>
        <v>34.14013387</v>
      </c>
      <c r="F848" s="7">
        <f t="shared" si="2"/>
        <v>-0.08715349165</v>
      </c>
      <c r="G848" s="5">
        <f t="shared" si="3"/>
        <v>-2.975431872</v>
      </c>
      <c r="H848" s="7">
        <f t="shared" si="4"/>
        <v>-0.08715349165</v>
      </c>
      <c r="I848" s="2" t="str">
        <f t="shared" si="5"/>
        <v>2016-04</v>
      </c>
      <c r="J848" s="2">
        <f t="shared" si="6"/>
        <v>2016</v>
      </c>
      <c r="K848" s="2">
        <f t="shared" si="7"/>
        <v>1</v>
      </c>
      <c r="L848" s="2" t="str">
        <f t="shared" si="8"/>
        <v>Sun</v>
      </c>
    </row>
    <row r="849" ht="15.0" customHeight="1">
      <c r="A849" s="4">
        <v>42485.0</v>
      </c>
      <c r="B849" s="2">
        <v>251449.53</v>
      </c>
      <c r="C849" s="2">
        <v>273255.1</v>
      </c>
      <c r="D849" s="2">
        <v>7372.0</v>
      </c>
      <c r="E849" s="5">
        <f t="shared" si="1"/>
        <v>34.10872626</v>
      </c>
      <c r="F849" s="7">
        <f t="shared" si="2"/>
        <v>-0.08671947011</v>
      </c>
      <c r="G849" s="5">
        <f t="shared" si="3"/>
        <v>-2.957890667</v>
      </c>
      <c r="H849" s="7">
        <f t="shared" si="4"/>
        <v>-0.08671947011</v>
      </c>
      <c r="I849" s="2" t="str">
        <f t="shared" si="5"/>
        <v>2016-04</v>
      </c>
      <c r="J849" s="2">
        <f t="shared" si="6"/>
        <v>2016</v>
      </c>
      <c r="K849" s="2">
        <f t="shared" si="7"/>
        <v>2</v>
      </c>
      <c r="L849" s="2" t="str">
        <f t="shared" si="8"/>
        <v>Mon</v>
      </c>
    </row>
    <row r="850" ht="15.0" customHeight="1">
      <c r="A850" s="4">
        <v>42486.0</v>
      </c>
      <c r="B850" s="2">
        <v>280321.81</v>
      </c>
      <c r="C850" s="2">
        <v>302469.83</v>
      </c>
      <c r="D850" s="2">
        <v>8211.0</v>
      </c>
      <c r="E850" s="5">
        <f t="shared" si="1"/>
        <v>34.13978931</v>
      </c>
      <c r="F850" s="7">
        <f t="shared" si="2"/>
        <v>-0.07900926439</v>
      </c>
      <c r="G850" s="5">
        <f t="shared" si="3"/>
        <v>-2.69735964</v>
      </c>
      <c r="H850" s="7">
        <f t="shared" si="4"/>
        <v>-0.07900926439</v>
      </c>
      <c r="I850" s="2" t="str">
        <f t="shared" si="5"/>
        <v>2016-04</v>
      </c>
      <c r="J850" s="2">
        <f t="shared" si="6"/>
        <v>2016</v>
      </c>
      <c r="K850" s="2">
        <f t="shared" si="7"/>
        <v>3</v>
      </c>
      <c r="L850" s="2" t="str">
        <f t="shared" si="8"/>
        <v>Tue</v>
      </c>
    </row>
    <row r="851" ht="15.0" customHeight="1">
      <c r="A851" s="4">
        <v>42487.0</v>
      </c>
      <c r="B851" s="2">
        <v>313434.93</v>
      </c>
      <c r="C851" s="2">
        <v>337931.12</v>
      </c>
      <c r="D851" s="2">
        <v>9182.0</v>
      </c>
      <c r="E851" s="5">
        <f t="shared" si="1"/>
        <v>34.13580157</v>
      </c>
      <c r="F851" s="7">
        <f t="shared" si="2"/>
        <v>-0.07815398877</v>
      </c>
      <c r="G851" s="5">
        <f t="shared" si="3"/>
        <v>-2.667849052</v>
      </c>
      <c r="H851" s="7">
        <f t="shared" si="4"/>
        <v>-0.07815398877</v>
      </c>
      <c r="I851" s="2" t="str">
        <f t="shared" si="5"/>
        <v>2016-04</v>
      </c>
      <c r="J851" s="2">
        <f t="shared" si="6"/>
        <v>2016</v>
      </c>
      <c r="K851" s="2">
        <f t="shared" si="7"/>
        <v>4</v>
      </c>
      <c r="L851" s="2" t="str">
        <f t="shared" si="8"/>
        <v>Wed</v>
      </c>
    </row>
    <row r="852" ht="15.0" customHeight="1">
      <c r="A852" s="4">
        <v>42488.0</v>
      </c>
      <c r="B852" s="2">
        <v>257324.6</v>
      </c>
      <c r="C852" s="2">
        <v>276852.18</v>
      </c>
      <c r="D852" s="2">
        <v>7520.0</v>
      </c>
      <c r="E852" s="5">
        <f t="shared" si="1"/>
        <v>34.21869681</v>
      </c>
      <c r="F852" s="7">
        <f t="shared" si="2"/>
        <v>-0.07588695368</v>
      </c>
      <c r="G852" s="5">
        <f t="shared" si="3"/>
        <v>-2.59675266</v>
      </c>
      <c r="H852" s="7">
        <f t="shared" si="4"/>
        <v>-0.07588695368</v>
      </c>
      <c r="I852" s="2" t="str">
        <f t="shared" si="5"/>
        <v>2016-04</v>
      </c>
      <c r="J852" s="2">
        <f t="shared" si="6"/>
        <v>2016</v>
      </c>
      <c r="K852" s="2">
        <f t="shared" si="7"/>
        <v>5</v>
      </c>
      <c r="L852" s="2" t="str">
        <f t="shared" si="8"/>
        <v>Thu</v>
      </c>
    </row>
    <row r="853" ht="15.0" customHeight="1">
      <c r="A853" s="4">
        <v>42489.0</v>
      </c>
      <c r="B853" s="2">
        <v>455554.34</v>
      </c>
      <c r="C853" s="2">
        <v>489215.07</v>
      </c>
      <c r="D853" s="2">
        <v>13321.0</v>
      </c>
      <c r="E853" s="5">
        <f t="shared" si="1"/>
        <v>34.19820884</v>
      </c>
      <c r="F853" s="7">
        <f t="shared" si="2"/>
        <v>-0.07388960448</v>
      </c>
      <c r="G853" s="5">
        <f t="shared" si="3"/>
        <v>-2.526892125</v>
      </c>
      <c r="H853" s="7">
        <f t="shared" si="4"/>
        <v>-0.07388960448</v>
      </c>
      <c r="I853" s="2" t="str">
        <f t="shared" si="5"/>
        <v>2016-04</v>
      </c>
      <c r="J853" s="2">
        <f t="shared" si="6"/>
        <v>2016</v>
      </c>
      <c r="K853" s="2">
        <f t="shared" si="7"/>
        <v>6</v>
      </c>
      <c r="L853" s="2" t="str">
        <f t="shared" si="8"/>
        <v>Fri</v>
      </c>
    </row>
    <row r="854" ht="15.0" customHeight="1">
      <c r="A854" s="4">
        <v>42490.0</v>
      </c>
      <c r="B854" s="2">
        <v>556865.2</v>
      </c>
      <c r="C854" s="2">
        <v>598925.67</v>
      </c>
      <c r="D854" s="2">
        <v>16276.0</v>
      </c>
      <c r="E854" s="5">
        <f t="shared" si="1"/>
        <v>34.21388548</v>
      </c>
      <c r="F854" s="7">
        <f t="shared" si="2"/>
        <v>-0.07553079273</v>
      </c>
      <c r="G854" s="5">
        <f t="shared" si="3"/>
        <v>-2.584201892</v>
      </c>
      <c r="H854" s="7">
        <f t="shared" si="4"/>
        <v>-0.07553079273</v>
      </c>
      <c r="I854" s="2" t="str">
        <f t="shared" si="5"/>
        <v>2016-04</v>
      </c>
      <c r="J854" s="2">
        <f t="shared" si="6"/>
        <v>2016</v>
      </c>
      <c r="K854" s="2">
        <f t="shared" si="7"/>
        <v>7</v>
      </c>
      <c r="L854" s="2" t="str">
        <f t="shared" si="8"/>
        <v>Sat</v>
      </c>
    </row>
    <row r="855" ht="15.0" customHeight="1">
      <c r="A855" s="4">
        <v>42491.0</v>
      </c>
      <c r="B855" s="2">
        <v>354856.04</v>
      </c>
      <c r="C855" s="2">
        <v>380511.16</v>
      </c>
      <c r="D855" s="2">
        <v>10388.0</v>
      </c>
      <c r="E855" s="5">
        <f t="shared" si="1"/>
        <v>34.16018868</v>
      </c>
      <c r="F855" s="7">
        <f t="shared" si="2"/>
        <v>-0.07229726173</v>
      </c>
      <c r="G855" s="5">
        <f t="shared" si="3"/>
        <v>-2.469688102</v>
      </c>
      <c r="H855" s="7">
        <f t="shared" si="4"/>
        <v>-0.07229726173</v>
      </c>
      <c r="I855" s="2" t="str">
        <f t="shared" si="5"/>
        <v>2016-05</v>
      </c>
      <c r="J855" s="2">
        <f t="shared" si="6"/>
        <v>2016</v>
      </c>
      <c r="K855" s="2">
        <f t="shared" si="7"/>
        <v>1</v>
      </c>
      <c r="L855" s="2" t="str">
        <f t="shared" si="8"/>
        <v>Sun</v>
      </c>
    </row>
    <row r="856" ht="15.0" customHeight="1">
      <c r="A856" s="4">
        <v>42492.0</v>
      </c>
      <c r="B856" s="2">
        <v>283284.58</v>
      </c>
      <c r="C856" s="2">
        <v>304997.85</v>
      </c>
      <c r="D856" s="2">
        <v>8298.0</v>
      </c>
      <c r="E856" s="5">
        <f t="shared" si="1"/>
        <v>34.13889853</v>
      </c>
      <c r="F856" s="7">
        <f t="shared" si="2"/>
        <v>-0.0766482595</v>
      </c>
      <c r="G856" s="5">
        <f t="shared" si="3"/>
        <v>-2.616687154</v>
      </c>
      <c r="H856" s="7">
        <f t="shared" si="4"/>
        <v>-0.0766482595</v>
      </c>
      <c r="I856" s="2" t="str">
        <f t="shared" si="5"/>
        <v>2016-05</v>
      </c>
      <c r="J856" s="2">
        <f t="shared" si="6"/>
        <v>2016</v>
      </c>
      <c r="K856" s="2">
        <f t="shared" si="7"/>
        <v>2</v>
      </c>
      <c r="L856" s="2" t="str">
        <f t="shared" si="8"/>
        <v>Mon</v>
      </c>
    </row>
    <row r="857" ht="15.0" customHeight="1">
      <c r="A857" s="4">
        <v>42493.0</v>
      </c>
      <c r="B857" s="2">
        <v>297500.67</v>
      </c>
      <c r="C857" s="2">
        <v>319786.36</v>
      </c>
      <c r="D857" s="2">
        <v>8717.0</v>
      </c>
      <c r="E857" s="5">
        <f t="shared" si="1"/>
        <v>34.12879087</v>
      </c>
      <c r="F857" s="7">
        <f t="shared" si="2"/>
        <v>-0.07490971365</v>
      </c>
      <c r="G857" s="5">
        <f t="shared" si="3"/>
        <v>-2.556577951</v>
      </c>
      <c r="H857" s="7">
        <f t="shared" si="4"/>
        <v>-0.07490971365</v>
      </c>
      <c r="I857" s="2" t="str">
        <f t="shared" si="5"/>
        <v>2016-05</v>
      </c>
      <c r="J857" s="2">
        <f t="shared" si="6"/>
        <v>2016</v>
      </c>
      <c r="K857" s="2">
        <f t="shared" si="7"/>
        <v>3</v>
      </c>
      <c r="L857" s="2" t="str">
        <f t="shared" si="8"/>
        <v>Tue</v>
      </c>
    </row>
    <row r="858" ht="15.0" customHeight="1">
      <c r="A858" s="4">
        <v>42494.0</v>
      </c>
      <c r="B858" s="2">
        <v>285968.49</v>
      </c>
      <c r="C858" s="2">
        <v>305507.0</v>
      </c>
      <c r="D858" s="2">
        <v>8364.0</v>
      </c>
      <c r="E858" s="5">
        <f t="shared" si="1"/>
        <v>34.19039813</v>
      </c>
      <c r="F858" s="7">
        <f t="shared" si="2"/>
        <v>-0.06832399612</v>
      </c>
      <c r="G858" s="5">
        <f t="shared" si="3"/>
        <v>-2.336024629</v>
      </c>
      <c r="H858" s="7">
        <f t="shared" si="4"/>
        <v>-0.06832399612</v>
      </c>
      <c r="I858" s="2" t="str">
        <f t="shared" si="5"/>
        <v>2016-05</v>
      </c>
      <c r="J858" s="2">
        <f t="shared" si="6"/>
        <v>2016</v>
      </c>
      <c r="K858" s="2">
        <f t="shared" si="7"/>
        <v>4</v>
      </c>
      <c r="L858" s="2" t="str">
        <f t="shared" si="8"/>
        <v>Wed</v>
      </c>
    </row>
    <row r="859" ht="15.0" customHeight="1">
      <c r="A859" s="4">
        <v>42495.0</v>
      </c>
      <c r="B859" s="2">
        <v>237946.63</v>
      </c>
      <c r="C859" s="2">
        <v>254527.42</v>
      </c>
      <c r="D859" s="2">
        <v>6968.0</v>
      </c>
      <c r="E859" s="5">
        <f t="shared" si="1"/>
        <v>34.14848307</v>
      </c>
      <c r="F859" s="7">
        <f t="shared" si="2"/>
        <v>-0.06968281081</v>
      </c>
      <c r="G859" s="5">
        <f t="shared" si="3"/>
        <v>-2.379562285</v>
      </c>
      <c r="H859" s="7">
        <f t="shared" si="4"/>
        <v>-0.06968281081</v>
      </c>
      <c r="I859" s="2" t="str">
        <f t="shared" si="5"/>
        <v>2016-05</v>
      </c>
      <c r="J859" s="2">
        <f t="shared" si="6"/>
        <v>2016</v>
      </c>
      <c r="K859" s="2">
        <f t="shared" si="7"/>
        <v>5</v>
      </c>
      <c r="L859" s="2" t="str">
        <f t="shared" si="8"/>
        <v>Thu</v>
      </c>
    </row>
    <row r="860" ht="15.0" customHeight="1">
      <c r="A860" s="4">
        <v>42496.0</v>
      </c>
      <c r="B860" s="2">
        <v>340851.51</v>
      </c>
      <c r="C860" s="2">
        <v>364361.03</v>
      </c>
      <c r="D860" s="2">
        <v>9973.0</v>
      </c>
      <c r="E860" s="5">
        <f t="shared" si="1"/>
        <v>34.17743006</v>
      </c>
      <c r="F860" s="7">
        <f t="shared" si="2"/>
        <v>-0.06897290847</v>
      </c>
      <c r="G860" s="5">
        <f t="shared" si="3"/>
        <v>-2.357316755</v>
      </c>
      <c r="H860" s="7">
        <f t="shared" si="4"/>
        <v>-0.06897290847</v>
      </c>
      <c r="I860" s="2" t="str">
        <f t="shared" si="5"/>
        <v>2016-05</v>
      </c>
      <c r="J860" s="2">
        <f t="shared" si="6"/>
        <v>2016</v>
      </c>
      <c r="K860" s="2">
        <f t="shared" si="7"/>
        <v>6</v>
      </c>
      <c r="L860" s="2" t="str">
        <f t="shared" si="8"/>
        <v>Fri</v>
      </c>
    </row>
    <row r="861" ht="15.0" customHeight="1">
      <c r="A861" s="4">
        <v>42497.0</v>
      </c>
      <c r="B861" s="2">
        <v>388187.6</v>
      </c>
      <c r="C861" s="2">
        <v>414644.62</v>
      </c>
      <c r="D861" s="2">
        <v>11363.0</v>
      </c>
      <c r="E861" s="5">
        <f t="shared" si="1"/>
        <v>34.1624219</v>
      </c>
      <c r="F861" s="7">
        <f t="shared" si="2"/>
        <v>-0.06815524247</v>
      </c>
      <c r="G861" s="5">
        <f t="shared" si="3"/>
        <v>-2.328348147</v>
      </c>
      <c r="H861" s="7">
        <f t="shared" si="4"/>
        <v>-0.06815524247</v>
      </c>
      <c r="I861" s="2" t="str">
        <f t="shared" si="5"/>
        <v>2016-05</v>
      </c>
      <c r="J861" s="2">
        <f t="shared" si="6"/>
        <v>2016</v>
      </c>
      <c r="K861" s="2">
        <f t="shared" si="7"/>
        <v>7</v>
      </c>
      <c r="L861" s="2" t="str">
        <f t="shared" si="8"/>
        <v>Sat</v>
      </c>
    </row>
    <row r="862" ht="15.0" customHeight="1">
      <c r="A862" s="4">
        <v>42498.0</v>
      </c>
      <c r="B862" s="2">
        <v>139178.98</v>
      </c>
      <c r="C862" s="2">
        <v>148731.09</v>
      </c>
      <c r="D862" s="2">
        <v>4074.0</v>
      </c>
      <c r="E862" s="5">
        <f t="shared" si="1"/>
        <v>34.16273441</v>
      </c>
      <c r="F862" s="7">
        <f t="shared" si="2"/>
        <v>-0.06863184369</v>
      </c>
      <c r="G862" s="5">
        <f t="shared" si="3"/>
        <v>-2.344651448</v>
      </c>
      <c r="H862" s="7">
        <f t="shared" si="4"/>
        <v>-0.06863184369</v>
      </c>
      <c r="I862" s="2" t="str">
        <f t="shared" si="5"/>
        <v>2016-05</v>
      </c>
      <c r="J862" s="2">
        <f t="shared" si="6"/>
        <v>2016</v>
      </c>
      <c r="K862" s="2">
        <f t="shared" si="7"/>
        <v>1</v>
      </c>
      <c r="L862" s="2" t="str">
        <f t="shared" si="8"/>
        <v>Sun</v>
      </c>
    </row>
    <row r="863" ht="15.0" customHeight="1">
      <c r="A863" s="4">
        <v>42499.0</v>
      </c>
      <c r="B863" s="2">
        <v>66400.3</v>
      </c>
      <c r="C863" s="2">
        <v>57741.74</v>
      </c>
      <c r="D863" s="2">
        <v>1579.0</v>
      </c>
      <c r="E863" s="5">
        <f t="shared" si="1"/>
        <v>42.0521216</v>
      </c>
      <c r="F863" s="7">
        <f t="shared" si="2"/>
        <v>0.1303994108</v>
      </c>
      <c r="G863" s="5">
        <f t="shared" si="3"/>
        <v>5.483571881</v>
      </c>
      <c r="H863" s="7">
        <f t="shared" si="4"/>
        <v>0.1303994108</v>
      </c>
      <c r="I863" s="2" t="str">
        <f t="shared" si="5"/>
        <v>2016-05</v>
      </c>
      <c r="J863" s="2">
        <f t="shared" si="6"/>
        <v>2016</v>
      </c>
      <c r="K863" s="2">
        <f t="shared" si="7"/>
        <v>2</v>
      </c>
      <c r="L863" s="2" t="str">
        <f t="shared" si="8"/>
        <v>Mon</v>
      </c>
    </row>
    <row r="864" ht="15.0" customHeight="1">
      <c r="A864" s="4">
        <v>42500.0</v>
      </c>
      <c r="B864" s="2">
        <v>42723.52</v>
      </c>
      <c r="C864" s="2">
        <v>37112.99</v>
      </c>
      <c r="D864" s="2">
        <v>1016.0</v>
      </c>
      <c r="E864" s="5">
        <f t="shared" si="1"/>
        <v>42.05070866</v>
      </c>
      <c r="F864" s="7">
        <f t="shared" si="2"/>
        <v>0.1313218106</v>
      </c>
      <c r="G864" s="5">
        <f t="shared" si="3"/>
        <v>5.522175197</v>
      </c>
      <c r="H864" s="7">
        <f t="shared" si="4"/>
        <v>0.1313218106</v>
      </c>
      <c r="I864" s="2" t="str">
        <f t="shared" si="5"/>
        <v>2016-05</v>
      </c>
      <c r="J864" s="2">
        <f t="shared" si="6"/>
        <v>2016</v>
      </c>
      <c r="K864" s="2">
        <f t="shared" si="7"/>
        <v>3</v>
      </c>
      <c r="L864" s="2" t="str">
        <f t="shared" si="8"/>
        <v>Tue</v>
      </c>
    </row>
    <row r="865" ht="15.0" customHeight="1">
      <c r="A865" s="4">
        <v>42501.0</v>
      </c>
      <c r="B865" s="2">
        <v>35014.4</v>
      </c>
      <c r="C865" s="2">
        <v>30393.74</v>
      </c>
      <c r="D865" s="2">
        <v>832.0</v>
      </c>
      <c r="E865" s="5">
        <f t="shared" si="1"/>
        <v>42.08461538</v>
      </c>
      <c r="F865" s="7">
        <f t="shared" si="2"/>
        <v>0.1319645632</v>
      </c>
      <c r="G865" s="5">
        <f t="shared" si="3"/>
        <v>5.553677885</v>
      </c>
      <c r="H865" s="7">
        <f t="shared" si="4"/>
        <v>0.1319645632</v>
      </c>
      <c r="I865" s="2" t="str">
        <f t="shared" si="5"/>
        <v>2016-05</v>
      </c>
      <c r="J865" s="2">
        <f t="shared" si="6"/>
        <v>2016</v>
      </c>
      <c r="K865" s="2">
        <f t="shared" si="7"/>
        <v>4</v>
      </c>
      <c r="L865" s="2" t="str">
        <f t="shared" si="8"/>
        <v>Wed</v>
      </c>
    </row>
    <row r="866" ht="15.0" customHeight="1">
      <c r="A866" s="4">
        <v>42502.0</v>
      </c>
      <c r="B866" s="2">
        <v>27210.41</v>
      </c>
      <c r="C866" s="2">
        <v>23570.16</v>
      </c>
      <c r="D866" s="2">
        <v>647.0</v>
      </c>
      <c r="E866" s="5">
        <f t="shared" si="1"/>
        <v>42.05627512</v>
      </c>
      <c r="F866" s="7">
        <f t="shared" si="2"/>
        <v>0.1337815196</v>
      </c>
      <c r="G866" s="5">
        <f t="shared" si="3"/>
        <v>5.626352396</v>
      </c>
      <c r="H866" s="7">
        <f t="shared" si="4"/>
        <v>0.1337815196</v>
      </c>
      <c r="I866" s="2" t="str">
        <f t="shared" si="5"/>
        <v>2016-05</v>
      </c>
      <c r="J866" s="2">
        <f t="shared" si="6"/>
        <v>2016</v>
      </c>
      <c r="K866" s="2">
        <f t="shared" si="7"/>
        <v>5</v>
      </c>
      <c r="L866" s="2" t="str">
        <f t="shared" si="8"/>
        <v>Thu</v>
      </c>
    </row>
    <row r="867" ht="15.0" customHeight="1">
      <c r="A867" s="4">
        <v>42503.0</v>
      </c>
      <c r="B867" s="2">
        <v>79840.09</v>
      </c>
      <c r="C867" s="2">
        <v>69078.71</v>
      </c>
      <c r="D867" s="2">
        <v>1898.0</v>
      </c>
      <c r="E867" s="5">
        <f t="shared" si="1"/>
        <v>42.06537935</v>
      </c>
      <c r="F867" s="7">
        <f t="shared" si="2"/>
        <v>0.1347866717</v>
      </c>
      <c r="G867" s="5">
        <f t="shared" si="3"/>
        <v>5.669852476</v>
      </c>
      <c r="H867" s="7">
        <f t="shared" si="4"/>
        <v>0.1347866717</v>
      </c>
      <c r="I867" s="2" t="str">
        <f t="shared" si="5"/>
        <v>2016-05</v>
      </c>
      <c r="J867" s="2">
        <f t="shared" si="6"/>
        <v>2016</v>
      </c>
      <c r="K867" s="2">
        <f t="shared" si="7"/>
        <v>6</v>
      </c>
      <c r="L867" s="2" t="str">
        <f t="shared" si="8"/>
        <v>Fri</v>
      </c>
    </row>
    <row r="868" ht="15.0" customHeight="1">
      <c r="A868" s="4">
        <v>42504.0</v>
      </c>
      <c r="B868" s="2">
        <v>82484.45</v>
      </c>
      <c r="C868" s="2">
        <v>71426.01</v>
      </c>
      <c r="D868" s="2">
        <v>1961.0</v>
      </c>
      <c r="E868" s="5">
        <f t="shared" si="1"/>
        <v>42.06244263</v>
      </c>
      <c r="F868" s="7">
        <f t="shared" si="2"/>
        <v>0.1340669666</v>
      </c>
      <c r="G868" s="5">
        <f t="shared" si="3"/>
        <v>5.63918409</v>
      </c>
      <c r="H868" s="7">
        <f t="shared" si="4"/>
        <v>0.1340669666</v>
      </c>
      <c r="I868" s="2" t="str">
        <f t="shared" si="5"/>
        <v>2016-05</v>
      </c>
      <c r="J868" s="2">
        <f t="shared" si="6"/>
        <v>2016</v>
      </c>
      <c r="K868" s="2">
        <f t="shared" si="7"/>
        <v>7</v>
      </c>
      <c r="L868" s="2" t="str">
        <f t="shared" si="8"/>
        <v>Sat</v>
      </c>
    </row>
    <row r="869" ht="15.0" customHeight="1">
      <c r="A869" s="4">
        <v>42505.0</v>
      </c>
      <c r="B869" s="2">
        <v>51497.24</v>
      </c>
      <c r="C869" s="2">
        <v>44611.94</v>
      </c>
      <c r="D869" s="2">
        <v>1224.0</v>
      </c>
      <c r="E869" s="5">
        <f t="shared" si="1"/>
        <v>42.0729085</v>
      </c>
      <c r="F869" s="7">
        <f t="shared" si="2"/>
        <v>0.133702311</v>
      </c>
      <c r="G869" s="5">
        <f t="shared" si="3"/>
        <v>5.625245098</v>
      </c>
      <c r="H869" s="7">
        <f t="shared" si="4"/>
        <v>0.133702311</v>
      </c>
      <c r="I869" s="2" t="str">
        <f t="shared" si="5"/>
        <v>2016-05</v>
      </c>
      <c r="J869" s="2">
        <f t="shared" si="6"/>
        <v>2016</v>
      </c>
      <c r="K869" s="2">
        <f t="shared" si="7"/>
        <v>1</v>
      </c>
      <c r="L869" s="2" t="str">
        <f t="shared" si="8"/>
        <v>Sun</v>
      </c>
    </row>
    <row r="870" ht="15.0" customHeight="1">
      <c r="A870" s="4">
        <v>42506.0</v>
      </c>
      <c r="B870" s="2">
        <v>42871.83</v>
      </c>
      <c r="C870" s="2">
        <v>37139.31</v>
      </c>
      <c r="D870" s="2">
        <v>1019.0</v>
      </c>
      <c r="E870" s="5">
        <f t="shared" si="1"/>
        <v>42.07245339</v>
      </c>
      <c r="F870" s="7">
        <f t="shared" si="2"/>
        <v>0.1337129766</v>
      </c>
      <c r="G870" s="5">
        <f t="shared" si="3"/>
        <v>5.625632974</v>
      </c>
      <c r="H870" s="7">
        <f t="shared" si="4"/>
        <v>0.1337129766</v>
      </c>
      <c r="I870" s="2" t="str">
        <f t="shared" si="5"/>
        <v>2016-05</v>
      </c>
      <c r="J870" s="2">
        <f t="shared" si="6"/>
        <v>2016</v>
      </c>
      <c r="K870" s="2">
        <f t="shared" si="7"/>
        <v>2</v>
      </c>
      <c r="L870" s="2" t="str">
        <f t="shared" si="8"/>
        <v>Mon</v>
      </c>
    </row>
    <row r="871" ht="15.0" customHeight="1">
      <c r="A871" s="4">
        <v>42507.0</v>
      </c>
      <c r="B871" s="2">
        <v>39104.64</v>
      </c>
      <c r="C871" s="2">
        <v>33890.36</v>
      </c>
      <c r="D871" s="2">
        <v>930.0</v>
      </c>
      <c r="E871" s="5">
        <f t="shared" si="1"/>
        <v>42.048</v>
      </c>
      <c r="F871" s="7">
        <f t="shared" si="2"/>
        <v>0.1333417211</v>
      </c>
      <c r="G871" s="5">
        <f t="shared" si="3"/>
        <v>5.606752688</v>
      </c>
      <c r="H871" s="7">
        <f t="shared" si="4"/>
        <v>0.1333417211</v>
      </c>
      <c r="I871" s="2" t="str">
        <f t="shared" si="5"/>
        <v>2016-05</v>
      </c>
      <c r="J871" s="2">
        <f t="shared" si="6"/>
        <v>2016</v>
      </c>
      <c r="K871" s="2">
        <f t="shared" si="7"/>
        <v>3</v>
      </c>
      <c r="L871" s="2" t="str">
        <f t="shared" si="8"/>
        <v>Tue</v>
      </c>
    </row>
    <row r="872" ht="15.0" customHeight="1">
      <c r="A872" s="4">
        <v>42508.0</v>
      </c>
      <c r="B872" s="2">
        <v>34406.75</v>
      </c>
      <c r="C872" s="2">
        <v>29884.33</v>
      </c>
      <c r="D872" s="2">
        <v>818.0</v>
      </c>
      <c r="E872" s="5">
        <f t="shared" si="1"/>
        <v>42.06204156</v>
      </c>
      <c r="F872" s="7">
        <f t="shared" si="2"/>
        <v>0.1314399064</v>
      </c>
      <c r="G872" s="5">
        <f t="shared" si="3"/>
        <v>5.528630807</v>
      </c>
      <c r="H872" s="7">
        <f t="shared" si="4"/>
        <v>0.1314399064</v>
      </c>
      <c r="I872" s="2" t="str">
        <f t="shared" si="5"/>
        <v>2016-05</v>
      </c>
      <c r="J872" s="2">
        <f t="shared" si="6"/>
        <v>2016</v>
      </c>
      <c r="K872" s="2">
        <f t="shared" si="7"/>
        <v>4</v>
      </c>
      <c r="L872" s="2" t="str">
        <f t="shared" si="8"/>
        <v>Wed</v>
      </c>
    </row>
    <row r="873" ht="15.0" customHeight="1">
      <c r="A873" s="4">
        <v>42509.0</v>
      </c>
      <c r="B873" s="2">
        <v>39403.66</v>
      </c>
      <c r="C873" s="2">
        <v>34229.63</v>
      </c>
      <c r="D873" s="2">
        <v>937.0</v>
      </c>
      <c r="E873" s="5">
        <f t="shared" si="1"/>
        <v>42.05299893</v>
      </c>
      <c r="F873" s="7">
        <f t="shared" si="2"/>
        <v>0.1313083607</v>
      </c>
      <c r="G873" s="5">
        <f t="shared" si="3"/>
        <v>5.521910352</v>
      </c>
      <c r="H873" s="7">
        <f t="shared" si="4"/>
        <v>0.1313083607</v>
      </c>
      <c r="I873" s="2" t="str">
        <f t="shared" si="5"/>
        <v>2016-05</v>
      </c>
      <c r="J873" s="2">
        <f t="shared" si="6"/>
        <v>2016</v>
      </c>
      <c r="K873" s="2">
        <f t="shared" si="7"/>
        <v>5</v>
      </c>
      <c r="L873" s="2" t="str">
        <f t="shared" si="8"/>
        <v>Thu</v>
      </c>
    </row>
    <row r="874" ht="15.0" customHeight="1">
      <c r="A874" s="4">
        <v>42510.0</v>
      </c>
      <c r="B874" s="2">
        <v>96830.9</v>
      </c>
      <c r="C874" s="2">
        <v>83926.0</v>
      </c>
      <c r="D874" s="2">
        <v>2302.0</v>
      </c>
      <c r="E874" s="5">
        <f t="shared" si="1"/>
        <v>42.06381407</v>
      </c>
      <c r="F874" s="7">
        <f t="shared" si="2"/>
        <v>0.1332725401</v>
      </c>
      <c r="G874" s="5">
        <f t="shared" si="3"/>
        <v>5.605951347</v>
      </c>
      <c r="H874" s="7">
        <f t="shared" si="4"/>
        <v>0.1332725401</v>
      </c>
      <c r="I874" s="2" t="str">
        <f t="shared" si="5"/>
        <v>2016-05</v>
      </c>
      <c r="J874" s="2">
        <f t="shared" si="6"/>
        <v>2016</v>
      </c>
      <c r="K874" s="2">
        <f t="shared" si="7"/>
        <v>6</v>
      </c>
      <c r="L874" s="2" t="str">
        <f t="shared" si="8"/>
        <v>Fri</v>
      </c>
    </row>
    <row r="875" ht="15.0" customHeight="1">
      <c r="A875" s="4">
        <v>42511.0</v>
      </c>
      <c r="B875" s="2">
        <v>99380.39</v>
      </c>
      <c r="C875" s="2">
        <v>86179.51</v>
      </c>
      <c r="D875" s="2">
        <v>2363.0</v>
      </c>
      <c r="E875" s="5">
        <f t="shared" si="1"/>
        <v>42.05687262</v>
      </c>
      <c r="F875" s="7">
        <f t="shared" si="2"/>
        <v>0.1328318394</v>
      </c>
      <c r="G875" s="5">
        <f t="shared" si="3"/>
        <v>5.586491748</v>
      </c>
      <c r="H875" s="7">
        <f t="shared" si="4"/>
        <v>0.1328318394</v>
      </c>
      <c r="I875" s="2" t="str">
        <f t="shared" si="5"/>
        <v>2016-05</v>
      </c>
      <c r="J875" s="2">
        <f t="shared" si="6"/>
        <v>2016</v>
      </c>
      <c r="K875" s="2">
        <f t="shared" si="7"/>
        <v>7</v>
      </c>
      <c r="L875" s="2" t="str">
        <f t="shared" si="8"/>
        <v>Sat</v>
      </c>
    </row>
    <row r="876" ht="15.0" customHeight="1">
      <c r="A876" s="4">
        <v>42512.0</v>
      </c>
      <c r="B876" s="2">
        <v>61656.18</v>
      </c>
      <c r="C876" s="2">
        <v>53463.73</v>
      </c>
      <c r="D876" s="2">
        <v>1466.0</v>
      </c>
      <c r="E876" s="5">
        <f t="shared" si="1"/>
        <v>42.05742156</v>
      </c>
      <c r="F876" s="7">
        <f t="shared" si="2"/>
        <v>0.1328731362</v>
      </c>
      <c r="G876" s="5">
        <f t="shared" si="3"/>
        <v>5.588301501</v>
      </c>
      <c r="H876" s="7">
        <f t="shared" si="4"/>
        <v>0.1328731362</v>
      </c>
      <c r="I876" s="2" t="str">
        <f t="shared" si="5"/>
        <v>2016-05</v>
      </c>
      <c r="J876" s="2">
        <f t="shared" si="6"/>
        <v>2016</v>
      </c>
      <c r="K876" s="2">
        <f t="shared" si="7"/>
        <v>1</v>
      </c>
      <c r="L876" s="2" t="str">
        <f t="shared" si="8"/>
        <v>Sun</v>
      </c>
    </row>
    <row r="877" ht="15.0" customHeight="1">
      <c r="A877" s="4">
        <v>42513.0</v>
      </c>
      <c r="B877" s="2">
        <v>69163.56</v>
      </c>
      <c r="C877" s="2">
        <v>59948.44</v>
      </c>
      <c r="D877" s="2">
        <v>1644.0</v>
      </c>
      <c r="E877" s="5">
        <f t="shared" si="1"/>
        <v>42.07029197</v>
      </c>
      <c r="F877" s="7">
        <f t="shared" si="2"/>
        <v>0.133236635</v>
      </c>
      <c r="G877" s="5">
        <f t="shared" si="3"/>
        <v>5.605304136</v>
      </c>
      <c r="H877" s="7">
        <f t="shared" si="4"/>
        <v>0.133236635</v>
      </c>
      <c r="I877" s="2" t="str">
        <f t="shared" si="5"/>
        <v>2016-05</v>
      </c>
      <c r="J877" s="2">
        <f t="shared" si="6"/>
        <v>2016</v>
      </c>
      <c r="K877" s="2">
        <f t="shared" si="7"/>
        <v>2</v>
      </c>
      <c r="L877" s="2" t="str">
        <f t="shared" si="8"/>
        <v>Mon</v>
      </c>
    </row>
    <row r="878" ht="15.0" customHeight="1">
      <c r="A878" s="4">
        <v>42514.0</v>
      </c>
      <c r="B878" s="2">
        <v>113112.87</v>
      </c>
      <c r="C878" s="2">
        <v>117414.7</v>
      </c>
      <c r="D878" s="2">
        <v>3224.0</v>
      </c>
      <c r="E878" s="5">
        <f t="shared" si="1"/>
        <v>35.0846371</v>
      </c>
      <c r="F878" s="7">
        <f t="shared" si="2"/>
        <v>-0.03803130448</v>
      </c>
      <c r="G878" s="5">
        <f t="shared" si="3"/>
        <v>-1.334314516</v>
      </c>
      <c r="H878" s="7">
        <f t="shared" si="4"/>
        <v>-0.03803130448</v>
      </c>
      <c r="I878" s="2" t="str">
        <f t="shared" si="5"/>
        <v>2016-05</v>
      </c>
      <c r="J878" s="2">
        <f t="shared" si="6"/>
        <v>2016</v>
      </c>
      <c r="K878" s="2">
        <f t="shared" si="7"/>
        <v>3</v>
      </c>
      <c r="L878" s="2" t="str">
        <f t="shared" si="8"/>
        <v>Tue</v>
      </c>
    </row>
    <row r="879" ht="15.0" customHeight="1">
      <c r="A879" s="4">
        <v>42515.0</v>
      </c>
      <c r="B879" s="2">
        <v>253686.3</v>
      </c>
      <c r="C879" s="2">
        <v>268974.57</v>
      </c>
      <c r="D879" s="2">
        <v>7392.0</v>
      </c>
      <c r="E879" s="5">
        <f t="shared" si="1"/>
        <v>34.31903409</v>
      </c>
      <c r="F879" s="7">
        <f t="shared" si="2"/>
        <v>-0.06026446836</v>
      </c>
      <c r="G879" s="5">
        <f t="shared" si="3"/>
        <v>-2.068218344</v>
      </c>
      <c r="H879" s="7">
        <f t="shared" si="4"/>
        <v>-0.06026446836</v>
      </c>
      <c r="I879" s="2" t="str">
        <f t="shared" si="5"/>
        <v>2016-05</v>
      </c>
      <c r="J879" s="2">
        <f t="shared" si="6"/>
        <v>2016</v>
      </c>
      <c r="K879" s="2">
        <f t="shared" si="7"/>
        <v>4</v>
      </c>
      <c r="L879" s="2" t="str">
        <f t="shared" si="8"/>
        <v>Wed</v>
      </c>
    </row>
    <row r="880" ht="15.0" customHeight="1">
      <c r="A880" s="4">
        <v>42516.0</v>
      </c>
      <c r="B880" s="2">
        <v>210305.29</v>
      </c>
      <c r="C880" s="2">
        <v>223289.08</v>
      </c>
      <c r="D880" s="2">
        <v>6138.0</v>
      </c>
      <c r="E880" s="5">
        <f t="shared" si="1"/>
        <v>34.26283643</v>
      </c>
      <c r="F880" s="7">
        <f t="shared" si="2"/>
        <v>-0.06173781934</v>
      </c>
      <c r="G880" s="5">
        <f t="shared" si="3"/>
        <v>-2.115312805</v>
      </c>
      <c r="H880" s="7">
        <f t="shared" si="4"/>
        <v>-0.06173781934</v>
      </c>
      <c r="I880" s="2" t="str">
        <f t="shared" si="5"/>
        <v>2016-05</v>
      </c>
      <c r="J880" s="2">
        <f t="shared" si="6"/>
        <v>2016</v>
      </c>
      <c r="K880" s="2">
        <f t="shared" si="7"/>
        <v>5</v>
      </c>
      <c r="L880" s="2" t="str">
        <f t="shared" si="8"/>
        <v>Thu</v>
      </c>
    </row>
    <row r="881" ht="15.0" customHeight="1">
      <c r="A881" s="4">
        <v>42517.0</v>
      </c>
      <c r="B881" s="2">
        <v>364087.42</v>
      </c>
      <c r="C881" s="2">
        <v>386499.9</v>
      </c>
      <c r="D881" s="2">
        <v>10624.0</v>
      </c>
      <c r="E881" s="5">
        <f t="shared" si="1"/>
        <v>34.27027673</v>
      </c>
      <c r="F881" s="7">
        <f t="shared" si="2"/>
        <v>-0.06155796319</v>
      </c>
      <c r="G881" s="5">
        <f t="shared" si="3"/>
        <v>-2.109608434</v>
      </c>
      <c r="H881" s="7">
        <f t="shared" si="4"/>
        <v>-0.06155796319</v>
      </c>
      <c r="I881" s="2" t="str">
        <f t="shared" si="5"/>
        <v>2016-05</v>
      </c>
      <c r="J881" s="2">
        <f t="shared" si="6"/>
        <v>2016</v>
      </c>
      <c r="K881" s="2">
        <f t="shared" si="7"/>
        <v>6</v>
      </c>
      <c r="L881" s="2" t="str">
        <f t="shared" si="8"/>
        <v>Fri</v>
      </c>
    </row>
    <row r="882" ht="15.0" customHeight="1">
      <c r="A882" s="4">
        <v>42518.0</v>
      </c>
      <c r="B882" s="2">
        <v>397480.37</v>
      </c>
      <c r="C882" s="2">
        <v>421674.1</v>
      </c>
      <c r="D882" s="2">
        <v>11590.0</v>
      </c>
      <c r="E882" s="5">
        <f t="shared" si="1"/>
        <v>34.29511389</v>
      </c>
      <c r="F882" s="7">
        <f t="shared" si="2"/>
        <v>-0.06086773543</v>
      </c>
      <c r="G882" s="5">
        <f t="shared" si="3"/>
        <v>-2.087465919</v>
      </c>
      <c r="H882" s="7">
        <f t="shared" si="4"/>
        <v>-0.06086773543</v>
      </c>
      <c r="I882" s="2" t="str">
        <f t="shared" si="5"/>
        <v>2016-05</v>
      </c>
      <c r="J882" s="2">
        <f t="shared" si="6"/>
        <v>2016</v>
      </c>
      <c r="K882" s="2">
        <f t="shared" si="7"/>
        <v>7</v>
      </c>
      <c r="L882" s="2" t="str">
        <f t="shared" si="8"/>
        <v>Sat</v>
      </c>
    </row>
    <row r="883" ht="15.0" customHeight="1">
      <c r="A883" s="4">
        <v>42519.0</v>
      </c>
      <c r="B883" s="2">
        <v>204028.18</v>
      </c>
      <c r="C883" s="2">
        <v>216777.32</v>
      </c>
      <c r="D883" s="2">
        <v>5959.0</v>
      </c>
      <c r="E883" s="5">
        <f t="shared" si="1"/>
        <v>34.23866085</v>
      </c>
      <c r="F883" s="7">
        <f t="shared" si="2"/>
        <v>-0.06248715251</v>
      </c>
      <c r="G883" s="5">
        <f t="shared" si="3"/>
        <v>-2.139476422</v>
      </c>
      <c r="H883" s="7">
        <f t="shared" si="4"/>
        <v>-0.06248715251</v>
      </c>
      <c r="I883" s="2" t="str">
        <f t="shared" si="5"/>
        <v>2016-05</v>
      </c>
      <c r="J883" s="2">
        <f t="shared" si="6"/>
        <v>2016</v>
      </c>
      <c r="K883" s="2">
        <f t="shared" si="7"/>
        <v>1</v>
      </c>
      <c r="L883" s="2" t="str">
        <f t="shared" si="8"/>
        <v>Sun</v>
      </c>
    </row>
    <row r="884" ht="15.0" customHeight="1">
      <c r="A884" s="4">
        <v>42520.0</v>
      </c>
      <c r="B884" s="2">
        <v>172797.94</v>
      </c>
      <c r="C884" s="2">
        <v>183715.81</v>
      </c>
      <c r="D884" s="2">
        <v>5048.0</v>
      </c>
      <c r="E884" s="5">
        <f t="shared" si="1"/>
        <v>34.23097068</v>
      </c>
      <c r="F884" s="7">
        <f t="shared" si="2"/>
        <v>-0.06318287128</v>
      </c>
      <c r="G884" s="5">
        <f t="shared" si="3"/>
        <v>-2.162811014</v>
      </c>
      <c r="H884" s="7">
        <f t="shared" si="4"/>
        <v>-0.06318287128</v>
      </c>
      <c r="I884" s="2" t="str">
        <f t="shared" si="5"/>
        <v>2016-05</v>
      </c>
      <c r="J884" s="2">
        <f t="shared" si="6"/>
        <v>2016</v>
      </c>
      <c r="K884" s="2">
        <f t="shared" si="7"/>
        <v>2</v>
      </c>
      <c r="L884" s="2" t="str">
        <f t="shared" si="8"/>
        <v>Mon</v>
      </c>
    </row>
    <row r="885" ht="15.0" customHeight="1">
      <c r="A885" s="4">
        <v>42521.0</v>
      </c>
      <c r="B885" s="2">
        <v>258970.65</v>
      </c>
      <c r="C885" s="2">
        <v>274386.02</v>
      </c>
      <c r="D885" s="2">
        <v>7542.0</v>
      </c>
      <c r="E885" s="5">
        <f t="shared" si="1"/>
        <v>34.33713206</v>
      </c>
      <c r="F885" s="7">
        <f t="shared" si="2"/>
        <v>-0.05952554855</v>
      </c>
      <c r="G885" s="5">
        <f t="shared" si="3"/>
        <v>-2.043936622</v>
      </c>
      <c r="H885" s="7">
        <f t="shared" si="4"/>
        <v>-0.05952554855</v>
      </c>
      <c r="I885" s="2" t="str">
        <f t="shared" si="5"/>
        <v>2016-05</v>
      </c>
      <c r="J885" s="2">
        <f t="shared" si="6"/>
        <v>2016</v>
      </c>
      <c r="K885" s="2">
        <f t="shared" si="7"/>
        <v>3</v>
      </c>
      <c r="L885" s="2" t="str">
        <f t="shared" si="8"/>
        <v>Tue</v>
      </c>
    </row>
    <row r="886" ht="15.0" customHeight="1">
      <c r="A886" s="4">
        <v>42522.0</v>
      </c>
      <c r="B886" s="2">
        <v>368789.57</v>
      </c>
      <c r="C886" s="2">
        <v>391923.66</v>
      </c>
      <c r="D886" s="2">
        <v>10761.0</v>
      </c>
      <c r="E886" s="5">
        <f t="shared" si="1"/>
        <v>34.27093857</v>
      </c>
      <c r="F886" s="7">
        <f t="shared" si="2"/>
        <v>-0.06272978382</v>
      </c>
      <c r="G886" s="5">
        <f t="shared" si="3"/>
        <v>-2.149808568</v>
      </c>
      <c r="H886" s="7">
        <f t="shared" si="4"/>
        <v>-0.06272978382</v>
      </c>
      <c r="I886" s="2" t="str">
        <f t="shared" si="5"/>
        <v>2016-06</v>
      </c>
      <c r="J886" s="2">
        <f t="shared" si="6"/>
        <v>2016</v>
      </c>
      <c r="K886" s="2">
        <f t="shared" si="7"/>
        <v>4</v>
      </c>
      <c r="L886" s="2" t="str">
        <f t="shared" si="8"/>
        <v>Wed</v>
      </c>
    </row>
    <row r="887" ht="15.0" customHeight="1">
      <c r="A887" s="4">
        <v>42523.0</v>
      </c>
      <c r="B887" s="2">
        <v>278071.39</v>
      </c>
      <c r="C887" s="2">
        <v>295548.24</v>
      </c>
      <c r="D887" s="2">
        <v>8120.0</v>
      </c>
      <c r="E887" s="5">
        <f t="shared" si="1"/>
        <v>34.24524507</v>
      </c>
      <c r="F887" s="7">
        <f t="shared" si="2"/>
        <v>-0.06285022706</v>
      </c>
      <c r="G887" s="5">
        <f t="shared" si="3"/>
        <v>-2.152321429</v>
      </c>
      <c r="H887" s="7">
        <f t="shared" si="4"/>
        <v>-0.06285022706</v>
      </c>
      <c r="I887" s="2" t="str">
        <f t="shared" si="5"/>
        <v>2016-06</v>
      </c>
      <c r="J887" s="2">
        <f t="shared" si="6"/>
        <v>2016</v>
      </c>
      <c r="K887" s="2">
        <f t="shared" si="7"/>
        <v>5</v>
      </c>
      <c r="L887" s="2" t="str">
        <f t="shared" si="8"/>
        <v>Thu</v>
      </c>
    </row>
    <row r="888" ht="15.0" customHeight="1">
      <c r="A888" s="4">
        <v>42524.0</v>
      </c>
      <c r="B888" s="2">
        <v>373959.36</v>
      </c>
      <c r="C888" s="2">
        <v>396324.18</v>
      </c>
      <c r="D888" s="2">
        <v>10896.0</v>
      </c>
      <c r="E888" s="5">
        <f t="shared" si="1"/>
        <v>34.32079295</v>
      </c>
      <c r="F888" s="7">
        <f t="shared" si="2"/>
        <v>-0.05980548261</v>
      </c>
      <c r="G888" s="5">
        <f t="shared" si="3"/>
        <v>-2.052571586</v>
      </c>
      <c r="H888" s="7">
        <f t="shared" si="4"/>
        <v>-0.05980548261</v>
      </c>
      <c r="I888" s="2" t="str">
        <f t="shared" si="5"/>
        <v>2016-06</v>
      </c>
      <c r="J888" s="2">
        <f t="shared" si="6"/>
        <v>2016</v>
      </c>
      <c r="K888" s="2">
        <f t="shared" si="7"/>
        <v>6</v>
      </c>
      <c r="L888" s="2" t="str">
        <f t="shared" si="8"/>
        <v>Fri</v>
      </c>
    </row>
    <row r="889" ht="15.0" customHeight="1">
      <c r="A889" s="4">
        <v>42525.0</v>
      </c>
      <c r="B889" s="2">
        <v>402057.25</v>
      </c>
      <c r="C889" s="2">
        <v>426466.13</v>
      </c>
      <c r="D889" s="2">
        <v>11726.0</v>
      </c>
      <c r="E889" s="5">
        <f t="shared" si="1"/>
        <v>34.28767269</v>
      </c>
      <c r="F889" s="7">
        <f t="shared" si="2"/>
        <v>-0.06070996108</v>
      </c>
      <c r="G889" s="5">
        <f t="shared" si="3"/>
        <v>-2.081603275</v>
      </c>
      <c r="H889" s="7">
        <f t="shared" si="4"/>
        <v>-0.06070996108</v>
      </c>
      <c r="I889" s="2" t="str">
        <f t="shared" si="5"/>
        <v>2016-06</v>
      </c>
      <c r="J889" s="2">
        <f t="shared" si="6"/>
        <v>2016</v>
      </c>
      <c r="K889" s="2">
        <f t="shared" si="7"/>
        <v>7</v>
      </c>
      <c r="L889" s="2" t="str">
        <f t="shared" si="8"/>
        <v>Sat</v>
      </c>
    </row>
    <row r="890" ht="15.0" customHeight="1">
      <c r="A890" s="4">
        <v>42526.0</v>
      </c>
      <c r="B890" s="2">
        <v>205719.45</v>
      </c>
      <c r="C890" s="2">
        <v>218408.18</v>
      </c>
      <c r="D890" s="2">
        <v>6007.0</v>
      </c>
      <c r="E890" s="5">
        <f t="shared" si="1"/>
        <v>34.24662061</v>
      </c>
      <c r="F890" s="7">
        <f t="shared" si="2"/>
        <v>-0.06167977797</v>
      </c>
      <c r="G890" s="5">
        <f t="shared" si="3"/>
        <v>-2.112323955</v>
      </c>
      <c r="H890" s="7">
        <f t="shared" si="4"/>
        <v>-0.06167977797</v>
      </c>
      <c r="I890" s="2" t="str">
        <f t="shared" si="5"/>
        <v>2016-06</v>
      </c>
      <c r="J890" s="2">
        <f t="shared" si="6"/>
        <v>2016</v>
      </c>
      <c r="K890" s="2">
        <f t="shared" si="7"/>
        <v>1</v>
      </c>
      <c r="L890" s="2" t="str">
        <f t="shared" si="8"/>
        <v>Sun</v>
      </c>
    </row>
    <row r="891" ht="15.0" customHeight="1">
      <c r="A891" s="4">
        <v>42527.0</v>
      </c>
      <c r="B891" s="2">
        <v>177626.95</v>
      </c>
      <c r="C891" s="2">
        <v>188629.75</v>
      </c>
      <c r="D891" s="2">
        <v>5185.0</v>
      </c>
      <c r="E891" s="5">
        <f t="shared" si="1"/>
        <v>34.25784957</v>
      </c>
      <c r="F891" s="7">
        <f t="shared" si="2"/>
        <v>-0.06194330309</v>
      </c>
      <c r="G891" s="5">
        <f t="shared" si="3"/>
        <v>-2.122044359</v>
      </c>
      <c r="H891" s="7">
        <f t="shared" si="4"/>
        <v>-0.06194330309</v>
      </c>
      <c r="I891" s="2" t="str">
        <f t="shared" si="5"/>
        <v>2016-06</v>
      </c>
      <c r="J891" s="2">
        <f t="shared" si="6"/>
        <v>2016</v>
      </c>
      <c r="K891" s="2">
        <f t="shared" si="7"/>
        <v>2</v>
      </c>
      <c r="L891" s="2" t="str">
        <f t="shared" si="8"/>
        <v>Mon</v>
      </c>
    </row>
    <row r="892" ht="15.0" customHeight="1">
      <c r="A892" s="4">
        <v>42528.0</v>
      </c>
      <c r="B892" s="2">
        <v>70441.91</v>
      </c>
      <c r="C892" s="2">
        <v>60910.75</v>
      </c>
      <c r="D892" s="2">
        <v>1675.0</v>
      </c>
      <c r="E892" s="5">
        <f t="shared" si="1"/>
        <v>42.05487164</v>
      </c>
      <c r="F892" s="7">
        <f t="shared" si="2"/>
        <v>0.1353052465</v>
      </c>
      <c r="G892" s="5">
        <f t="shared" si="3"/>
        <v>5.690244776</v>
      </c>
      <c r="H892" s="7">
        <f t="shared" si="4"/>
        <v>0.1353052465</v>
      </c>
      <c r="I892" s="2" t="str">
        <f t="shared" si="5"/>
        <v>2016-06</v>
      </c>
      <c r="J892" s="2">
        <f t="shared" si="6"/>
        <v>2016</v>
      </c>
      <c r="K892" s="2">
        <f t="shared" si="7"/>
        <v>3</v>
      </c>
      <c r="L892" s="2" t="str">
        <f t="shared" si="8"/>
        <v>Tue</v>
      </c>
    </row>
    <row r="893" ht="15.0" customHeight="1">
      <c r="A893" s="4">
        <v>42529.0</v>
      </c>
      <c r="B893" s="2">
        <v>162923.85</v>
      </c>
      <c r="C893" s="2">
        <v>173292.68</v>
      </c>
      <c r="D893" s="2">
        <v>4765.0</v>
      </c>
      <c r="E893" s="5">
        <f t="shared" si="1"/>
        <v>34.19178384</v>
      </c>
      <c r="F893" s="7">
        <f t="shared" si="2"/>
        <v>-0.06364218621</v>
      </c>
      <c r="G893" s="5">
        <f t="shared" si="3"/>
        <v>-2.176039874</v>
      </c>
      <c r="H893" s="7">
        <f t="shared" si="4"/>
        <v>-0.06364218621</v>
      </c>
      <c r="I893" s="2" t="str">
        <f t="shared" si="5"/>
        <v>2016-06</v>
      </c>
      <c r="J893" s="2">
        <f t="shared" si="6"/>
        <v>2016</v>
      </c>
      <c r="K893" s="2">
        <f t="shared" si="7"/>
        <v>4</v>
      </c>
      <c r="L893" s="2" t="str">
        <f t="shared" si="8"/>
        <v>Wed</v>
      </c>
    </row>
    <row r="894" ht="15.0" customHeight="1">
      <c r="A894" s="4">
        <v>42530.0</v>
      </c>
      <c r="B894" s="2">
        <v>138752.53</v>
      </c>
      <c r="C894" s="2">
        <v>143791.48</v>
      </c>
      <c r="D894" s="2">
        <v>3953.0</v>
      </c>
      <c r="E894" s="5">
        <f t="shared" si="1"/>
        <v>35.10056413</v>
      </c>
      <c r="F894" s="7">
        <f t="shared" si="2"/>
        <v>-0.03631609456</v>
      </c>
      <c r="G894" s="5">
        <f t="shared" si="3"/>
        <v>-1.274715406</v>
      </c>
      <c r="H894" s="7">
        <f t="shared" si="4"/>
        <v>-0.03631609456</v>
      </c>
      <c r="I894" s="2" t="str">
        <f t="shared" si="5"/>
        <v>2016-06</v>
      </c>
      <c r="J894" s="2">
        <f t="shared" si="6"/>
        <v>2016</v>
      </c>
      <c r="K894" s="2">
        <f t="shared" si="7"/>
        <v>5</v>
      </c>
      <c r="L894" s="2" t="str">
        <f t="shared" si="8"/>
        <v>Thu</v>
      </c>
    </row>
    <row r="895" ht="15.0" customHeight="1">
      <c r="A895" s="4">
        <v>42531.0</v>
      </c>
      <c r="B895" s="2">
        <v>252458.26</v>
      </c>
      <c r="C895" s="2">
        <v>261502.38</v>
      </c>
      <c r="D895" s="2">
        <v>7190.0</v>
      </c>
      <c r="E895" s="5">
        <f t="shared" si="1"/>
        <v>35.11241446</v>
      </c>
      <c r="F895" s="7">
        <f t="shared" si="2"/>
        <v>-0.03582421902</v>
      </c>
      <c r="G895" s="5">
        <f t="shared" si="3"/>
        <v>-1.257874826</v>
      </c>
      <c r="H895" s="7">
        <f t="shared" si="4"/>
        <v>-0.03582421902</v>
      </c>
      <c r="I895" s="2" t="str">
        <f t="shared" si="5"/>
        <v>2016-06</v>
      </c>
      <c r="J895" s="2">
        <f t="shared" si="6"/>
        <v>2016</v>
      </c>
      <c r="K895" s="2">
        <f t="shared" si="7"/>
        <v>6</v>
      </c>
      <c r="L895" s="2" t="str">
        <f t="shared" si="8"/>
        <v>Fri</v>
      </c>
    </row>
    <row r="896" ht="15.0" customHeight="1">
      <c r="A896" s="4">
        <v>42532.0</v>
      </c>
      <c r="B896" s="2">
        <v>293917.85</v>
      </c>
      <c r="C896" s="2">
        <v>311853.52</v>
      </c>
      <c r="D896" s="2">
        <v>8577.0</v>
      </c>
      <c r="E896" s="5">
        <f t="shared" si="1"/>
        <v>34.26814154</v>
      </c>
      <c r="F896" s="7">
        <f t="shared" si="2"/>
        <v>-0.06102273135</v>
      </c>
      <c r="G896" s="5">
        <f t="shared" si="3"/>
        <v>-2.091135595</v>
      </c>
      <c r="H896" s="7">
        <f t="shared" si="4"/>
        <v>-0.06102273135</v>
      </c>
      <c r="I896" s="2" t="str">
        <f t="shared" si="5"/>
        <v>2016-06</v>
      </c>
      <c r="J896" s="2">
        <f t="shared" si="6"/>
        <v>2016</v>
      </c>
      <c r="K896" s="2">
        <f t="shared" si="7"/>
        <v>7</v>
      </c>
      <c r="L896" s="2" t="str">
        <f t="shared" si="8"/>
        <v>Sat</v>
      </c>
    </row>
    <row r="897" ht="15.0" customHeight="1">
      <c r="A897" s="4">
        <v>42533.0</v>
      </c>
      <c r="B897" s="2">
        <v>138350.12</v>
      </c>
      <c r="C897" s="2">
        <v>143346.67</v>
      </c>
      <c r="D897" s="2">
        <v>3943.0</v>
      </c>
      <c r="E897" s="5">
        <f t="shared" si="1"/>
        <v>35.08752726</v>
      </c>
      <c r="F897" s="7">
        <f t="shared" si="2"/>
        <v>-0.03611525599</v>
      </c>
      <c r="G897" s="5">
        <f t="shared" si="3"/>
        <v>-1.267195029</v>
      </c>
      <c r="H897" s="7">
        <f t="shared" si="4"/>
        <v>-0.03611525599</v>
      </c>
      <c r="I897" s="2" t="str">
        <f t="shared" si="5"/>
        <v>2016-06</v>
      </c>
      <c r="J897" s="2">
        <f t="shared" si="6"/>
        <v>2016</v>
      </c>
      <c r="K897" s="2">
        <f t="shared" si="7"/>
        <v>1</v>
      </c>
      <c r="L897" s="2" t="str">
        <f t="shared" si="8"/>
        <v>Sun</v>
      </c>
    </row>
    <row r="898" ht="15.0" customHeight="1">
      <c r="A898" s="4">
        <v>42534.0</v>
      </c>
      <c r="B898" s="2">
        <v>130067.28</v>
      </c>
      <c r="C898" s="2">
        <v>134950.57</v>
      </c>
      <c r="D898" s="2">
        <v>3707.0</v>
      </c>
      <c r="E898" s="5">
        <f t="shared" si="1"/>
        <v>35.08693822</v>
      </c>
      <c r="F898" s="7">
        <f t="shared" si="2"/>
        <v>-0.03754433859</v>
      </c>
      <c r="G898" s="5">
        <f t="shared" si="3"/>
        <v>-1.317315889</v>
      </c>
      <c r="H898" s="7">
        <f t="shared" si="4"/>
        <v>-0.03754433859</v>
      </c>
      <c r="I898" s="2" t="str">
        <f t="shared" si="5"/>
        <v>2016-06</v>
      </c>
      <c r="J898" s="2">
        <f t="shared" si="6"/>
        <v>2016</v>
      </c>
      <c r="K898" s="2">
        <f t="shared" si="7"/>
        <v>2</v>
      </c>
      <c r="L898" s="2" t="str">
        <f t="shared" si="8"/>
        <v>Mon</v>
      </c>
    </row>
    <row r="899" ht="15.0" customHeight="1">
      <c r="A899" s="4">
        <v>42535.0</v>
      </c>
      <c r="B899" s="2">
        <v>107168.66</v>
      </c>
      <c r="C899" s="2">
        <v>111173.16</v>
      </c>
      <c r="D899" s="2">
        <v>3054.0</v>
      </c>
      <c r="E899" s="5">
        <f t="shared" si="1"/>
        <v>35.09124427</v>
      </c>
      <c r="F899" s="7">
        <f t="shared" si="2"/>
        <v>-0.03736633452</v>
      </c>
      <c r="G899" s="5">
        <f t="shared" si="3"/>
        <v>-1.311231172</v>
      </c>
      <c r="H899" s="7">
        <f t="shared" si="4"/>
        <v>-0.03736633452</v>
      </c>
      <c r="I899" s="2" t="str">
        <f t="shared" si="5"/>
        <v>2016-06</v>
      </c>
      <c r="J899" s="2">
        <f t="shared" si="6"/>
        <v>2016</v>
      </c>
      <c r="K899" s="2">
        <f t="shared" si="7"/>
        <v>3</v>
      </c>
      <c r="L899" s="2" t="str">
        <f t="shared" si="8"/>
        <v>Tue</v>
      </c>
    </row>
    <row r="900" ht="15.0" customHeight="1">
      <c r="A900" s="4">
        <v>42536.0</v>
      </c>
      <c r="B900" s="2">
        <v>224030.55</v>
      </c>
      <c r="C900" s="2">
        <v>237934.73</v>
      </c>
      <c r="D900" s="2">
        <v>6541.0</v>
      </c>
      <c r="E900" s="5">
        <f t="shared" si="1"/>
        <v>34.25019875</v>
      </c>
      <c r="F900" s="7">
        <f t="shared" si="2"/>
        <v>-0.06206376764</v>
      </c>
      <c r="G900" s="5">
        <f t="shared" si="3"/>
        <v>-2.125696377</v>
      </c>
      <c r="H900" s="7">
        <f t="shared" si="4"/>
        <v>-0.06206376764</v>
      </c>
      <c r="I900" s="2" t="str">
        <f t="shared" si="5"/>
        <v>2016-06</v>
      </c>
      <c r="J900" s="2">
        <f t="shared" si="6"/>
        <v>2016</v>
      </c>
      <c r="K900" s="2">
        <f t="shared" si="7"/>
        <v>4</v>
      </c>
      <c r="L900" s="2" t="str">
        <f t="shared" si="8"/>
        <v>Wed</v>
      </c>
    </row>
    <row r="901" ht="15.0" customHeight="1">
      <c r="A901" s="4">
        <v>42537.0</v>
      </c>
      <c r="B901" s="2">
        <v>201918.22</v>
      </c>
      <c r="C901" s="2">
        <v>209095.57</v>
      </c>
      <c r="D901" s="2">
        <v>5749.0</v>
      </c>
      <c r="E901" s="5">
        <f t="shared" si="1"/>
        <v>35.1223204</v>
      </c>
      <c r="F901" s="7">
        <f t="shared" si="2"/>
        <v>-0.03554582642</v>
      </c>
      <c r="G901" s="5">
        <f t="shared" si="3"/>
        <v>-1.248451905</v>
      </c>
      <c r="H901" s="7">
        <f t="shared" si="4"/>
        <v>-0.03554582642</v>
      </c>
      <c r="I901" s="2" t="str">
        <f t="shared" si="5"/>
        <v>2016-06</v>
      </c>
      <c r="J901" s="2">
        <f t="shared" si="6"/>
        <v>2016</v>
      </c>
      <c r="K901" s="2">
        <f t="shared" si="7"/>
        <v>5</v>
      </c>
      <c r="L901" s="2" t="str">
        <f t="shared" si="8"/>
        <v>Thu</v>
      </c>
    </row>
    <row r="902" ht="15.0" customHeight="1">
      <c r="A902" s="4">
        <v>42538.0</v>
      </c>
      <c r="B902" s="2">
        <v>329344.27</v>
      </c>
      <c r="C902" s="2">
        <v>341253.33</v>
      </c>
      <c r="D902" s="2">
        <v>9385.0</v>
      </c>
      <c r="E902" s="5">
        <f t="shared" si="1"/>
        <v>35.09262334</v>
      </c>
      <c r="F902" s="7">
        <f t="shared" si="2"/>
        <v>-0.03615991254</v>
      </c>
      <c r="G902" s="5">
        <f t="shared" si="3"/>
        <v>-1.268946191</v>
      </c>
      <c r="H902" s="7">
        <f t="shared" si="4"/>
        <v>-0.03615991254</v>
      </c>
      <c r="I902" s="2" t="str">
        <f t="shared" si="5"/>
        <v>2016-06</v>
      </c>
      <c r="J902" s="2">
        <f t="shared" si="6"/>
        <v>2016</v>
      </c>
      <c r="K902" s="2">
        <f t="shared" si="7"/>
        <v>6</v>
      </c>
      <c r="L902" s="2" t="str">
        <f t="shared" si="8"/>
        <v>Fri</v>
      </c>
    </row>
    <row r="903" ht="15.0" customHeight="1">
      <c r="A903" s="4">
        <v>42539.0</v>
      </c>
      <c r="B903" s="2">
        <v>308642.98</v>
      </c>
      <c r="C903" s="2">
        <v>327672.04</v>
      </c>
      <c r="D903" s="2">
        <v>9012.0</v>
      </c>
      <c r="E903" s="5">
        <f t="shared" si="1"/>
        <v>34.24800044</v>
      </c>
      <c r="F903" s="7">
        <f t="shared" si="2"/>
        <v>-0.0616539537</v>
      </c>
      <c r="G903" s="5">
        <f t="shared" si="3"/>
        <v>-2.111524634</v>
      </c>
      <c r="H903" s="7">
        <f t="shared" si="4"/>
        <v>-0.0616539537</v>
      </c>
      <c r="I903" s="2" t="str">
        <f t="shared" si="5"/>
        <v>2016-06</v>
      </c>
      <c r="J903" s="2">
        <f t="shared" si="6"/>
        <v>2016</v>
      </c>
      <c r="K903" s="2">
        <f t="shared" si="7"/>
        <v>7</v>
      </c>
      <c r="L903" s="2" t="str">
        <f t="shared" si="8"/>
        <v>Sat</v>
      </c>
    </row>
    <row r="904" ht="15.0" customHeight="1">
      <c r="A904" s="4">
        <v>42540.0</v>
      </c>
      <c r="B904" s="2">
        <v>134472.41</v>
      </c>
      <c r="C904" s="2">
        <v>139385.88</v>
      </c>
      <c r="D904" s="2">
        <v>3831.0</v>
      </c>
      <c r="E904" s="5">
        <f t="shared" si="1"/>
        <v>35.10112503</v>
      </c>
      <c r="F904" s="7">
        <f t="shared" si="2"/>
        <v>-0.03653887069</v>
      </c>
      <c r="G904" s="5">
        <f t="shared" si="3"/>
        <v>-1.282555469</v>
      </c>
      <c r="H904" s="7">
        <f t="shared" si="4"/>
        <v>-0.03653887069</v>
      </c>
      <c r="I904" s="2" t="str">
        <f t="shared" si="5"/>
        <v>2016-06</v>
      </c>
      <c r="J904" s="2">
        <f t="shared" si="6"/>
        <v>2016</v>
      </c>
      <c r="K904" s="2">
        <f t="shared" si="7"/>
        <v>1</v>
      </c>
      <c r="L904" s="2" t="str">
        <f t="shared" si="8"/>
        <v>Sun</v>
      </c>
    </row>
    <row r="905" ht="15.0" customHeight="1">
      <c r="A905" s="4">
        <v>42541.0</v>
      </c>
      <c r="B905" s="2">
        <v>143809.72</v>
      </c>
      <c r="C905" s="2">
        <v>148953.91</v>
      </c>
      <c r="D905" s="2">
        <v>4097.0</v>
      </c>
      <c r="E905" s="5">
        <f t="shared" si="1"/>
        <v>35.10122529</v>
      </c>
      <c r="F905" s="7">
        <f t="shared" si="2"/>
        <v>-0.03577080882</v>
      </c>
      <c r="G905" s="5">
        <f t="shared" si="3"/>
        <v>-1.255599219</v>
      </c>
      <c r="H905" s="7">
        <f t="shared" si="4"/>
        <v>-0.03577080882</v>
      </c>
      <c r="I905" s="2" t="str">
        <f t="shared" si="5"/>
        <v>2016-06</v>
      </c>
      <c r="J905" s="2">
        <f t="shared" si="6"/>
        <v>2016</v>
      </c>
      <c r="K905" s="2">
        <f t="shared" si="7"/>
        <v>2</v>
      </c>
      <c r="L905" s="2" t="str">
        <f t="shared" si="8"/>
        <v>Mon</v>
      </c>
    </row>
    <row r="906" ht="15.0" customHeight="1">
      <c r="A906" s="4">
        <v>42542.0</v>
      </c>
      <c r="B906" s="2">
        <v>123252.15</v>
      </c>
      <c r="C906" s="2">
        <v>127533.01</v>
      </c>
      <c r="D906" s="2">
        <v>3509.0</v>
      </c>
      <c r="E906" s="5">
        <f t="shared" si="1"/>
        <v>35.12457965</v>
      </c>
      <c r="F906" s="7">
        <f t="shared" si="2"/>
        <v>-0.03473253813</v>
      </c>
      <c r="G906" s="5">
        <f t="shared" si="3"/>
        <v>-1.219965802</v>
      </c>
      <c r="H906" s="7">
        <f t="shared" si="4"/>
        <v>-0.03473253813</v>
      </c>
      <c r="I906" s="2" t="str">
        <f t="shared" si="5"/>
        <v>2016-06</v>
      </c>
      <c r="J906" s="2">
        <f t="shared" si="6"/>
        <v>2016</v>
      </c>
      <c r="K906" s="2">
        <f t="shared" si="7"/>
        <v>3</v>
      </c>
      <c r="L906" s="2" t="str">
        <f t="shared" si="8"/>
        <v>Tue</v>
      </c>
    </row>
    <row r="907" ht="15.0" customHeight="1">
      <c r="A907" s="4">
        <v>42543.0</v>
      </c>
      <c r="B907" s="2">
        <v>40067.15</v>
      </c>
      <c r="C907" s="2">
        <v>34559.08</v>
      </c>
      <c r="D907" s="2">
        <v>953.0</v>
      </c>
      <c r="E907" s="5">
        <f t="shared" si="1"/>
        <v>42.04317943</v>
      </c>
      <c r="F907" s="7">
        <f t="shared" si="2"/>
        <v>0.1374709706</v>
      </c>
      <c r="G907" s="5">
        <f t="shared" si="3"/>
        <v>5.779716684</v>
      </c>
      <c r="H907" s="7">
        <f t="shared" si="4"/>
        <v>0.1374709706</v>
      </c>
      <c r="I907" s="2" t="str">
        <f t="shared" si="5"/>
        <v>2016-06</v>
      </c>
      <c r="J907" s="2">
        <f t="shared" si="6"/>
        <v>2016</v>
      </c>
      <c r="K907" s="2">
        <f t="shared" si="7"/>
        <v>4</v>
      </c>
      <c r="L907" s="2" t="str">
        <f t="shared" si="8"/>
        <v>Wed</v>
      </c>
    </row>
    <row r="908" ht="15.0" customHeight="1">
      <c r="A908" s="4">
        <v>42544.0</v>
      </c>
      <c r="B908" s="2">
        <v>143752.74</v>
      </c>
      <c r="C908" s="2">
        <v>155659.53</v>
      </c>
      <c r="D908" s="2">
        <v>4305.0</v>
      </c>
      <c r="E908" s="5">
        <f t="shared" si="1"/>
        <v>33.39204181</v>
      </c>
      <c r="F908" s="7">
        <f t="shared" si="2"/>
        <v>-0.0828282647</v>
      </c>
      <c r="G908" s="5">
        <f t="shared" si="3"/>
        <v>-2.765804878</v>
      </c>
      <c r="H908" s="7">
        <f t="shared" si="4"/>
        <v>-0.0828282647</v>
      </c>
      <c r="I908" s="2" t="str">
        <f t="shared" si="5"/>
        <v>2016-06</v>
      </c>
      <c r="J908" s="2">
        <f t="shared" si="6"/>
        <v>2016</v>
      </c>
      <c r="K908" s="2">
        <f t="shared" si="7"/>
        <v>5</v>
      </c>
      <c r="L908" s="2" t="str">
        <f t="shared" si="8"/>
        <v>Thu</v>
      </c>
    </row>
    <row r="909" ht="15.0" customHeight="1">
      <c r="A909" s="4">
        <v>42545.0</v>
      </c>
      <c r="B909" s="2">
        <v>389904.01</v>
      </c>
      <c r="C909" s="2">
        <v>422372.58</v>
      </c>
      <c r="D909" s="2">
        <v>11667.0</v>
      </c>
      <c r="E909" s="5">
        <f t="shared" si="1"/>
        <v>33.41938887</v>
      </c>
      <c r="F909" s="7">
        <f t="shared" si="2"/>
        <v>-0.08327323948</v>
      </c>
      <c r="G909" s="5">
        <f t="shared" si="3"/>
        <v>-2.782940773</v>
      </c>
      <c r="H909" s="7">
        <f t="shared" si="4"/>
        <v>-0.08327323948</v>
      </c>
      <c r="I909" s="2" t="str">
        <f t="shared" si="5"/>
        <v>2016-06</v>
      </c>
      <c r="J909" s="2">
        <f t="shared" si="6"/>
        <v>2016</v>
      </c>
      <c r="K909" s="2">
        <f t="shared" si="7"/>
        <v>6</v>
      </c>
      <c r="L909" s="2" t="str">
        <f t="shared" si="8"/>
        <v>Fri</v>
      </c>
    </row>
    <row r="910" ht="15.0" customHeight="1">
      <c r="A910" s="4">
        <v>42546.0</v>
      </c>
      <c r="B910" s="2">
        <v>461280.79</v>
      </c>
      <c r="C910" s="2">
        <v>498910.33</v>
      </c>
      <c r="D910" s="2">
        <v>13793.0</v>
      </c>
      <c r="E910" s="5">
        <f t="shared" si="1"/>
        <v>33.4431081</v>
      </c>
      <c r="F910" s="7">
        <f t="shared" si="2"/>
        <v>-0.08157621305</v>
      </c>
      <c r="G910" s="5">
        <f t="shared" si="3"/>
        <v>-2.728162111</v>
      </c>
      <c r="H910" s="7">
        <f t="shared" si="4"/>
        <v>-0.08157621305</v>
      </c>
      <c r="I910" s="2" t="str">
        <f t="shared" si="5"/>
        <v>2016-06</v>
      </c>
      <c r="J910" s="2">
        <f t="shared" si="6"/>
        <v>2016</v>
      </c>
      <c r="K910" s="2">
        <f t="shared" si="7"/>
        <v>7</v>
      </c>
      <c r="L910" s="2" t="str">
        <f t="shared" si="8"/>
        <v>Sat</v>
      </c>
    </row>
    <row r="911" ht="15.0" customHeight="1">
      <c r="A911" s="4">
        <v>42547.0</v>
      </c>
      <c r="B911" s="2">
        <v>221578.7</v>
      </c>
      <c r="C911" s="2">
        <v>240449.62</v>
      </c>
      <c r="D911" s="2">
        <v>6641.0</v>
      </c>
      <c r="E911" s="5">
        <f t="shared" si="1"/>
        <v>33.36526126</v>
      </c>
      <c r="F911" s="7">
        <f t="shared" si="2"/>
        <v>-0.08516576729</v>
      </c>
      <c r="G911" s="5">
        <f t="shared" si="3"/>
        <v>-2.841578076</v>
      </c>
      <c r="H911" s="7">
        <f t="shared" si="4"/>
        <v>-0.08516576729</v>
      </c>
      <c r="I911" s="2" t="str">
        <f t="shared" si="5"/>
        <v>2016-06</v>
      </c>
      <c r="J911" s="2">
        <f t="shared" si="6"/>
        <v>2016</v>
      </c>
      <c r="K911" s="2">
        <f t="shared" si="7"/>
        <v>1</v>
      </c>
      <c r="L911" s="2" t="str">
        <f t="shared" si="8"/>
        <v>Sun</v>
      </c>
    </row>
    <row r="912" ht="15.0" customHeight="1">
      <c r="A912" s="4">
        <v>42548.0</v>
      </c>
      <c r="B912" s="2">
        <v>253702.22</v>
      </c>
      <c r="C912" s="2">
        <v>274426.08</v>
      </c>
      <c r="D912" s="2">
        <v>7593.0</v>
      </c>
      <c r="E912" s="5">
        <f t="shared" si="1"/>
        <v>33.41264586</v>
      </c>
      <c r="F912" s="7">
        <f t="shared" si="2"/>
        <v>-0.0816857653</v>
      </c>
      <c r="G912" s="5">
        <f t="shared" si="3"/>
        <v>-2.729337548</v>
      </c>
      <c r="H912" s="7">
        <f t="shared" si="4"/>
        <v>-0.0816857653</v>
      </c>
      <c r="I912" s="2" t="str">
        <f t="shared" si="5"/>
        <v>2016-06</v>
      </c>
      <c r="J912" s="2">
        <f t="shared" si="6"/>
        <v>2016</v>
      </c>
      <c r="K912" s="2">
        <f t="shared" si="7"/>
        <v>2</v>
      </c>
      <c r="L912" s="2" t="str">
        <f t="shared" si="8"/>
        <v>Mon</v>
      </c>
    </row>
    <row r="913" ht="15.0" customHeight="1">
      <c r="A913" s="4">
        <v>42549.0</v>
      </c>
      <c r="B913" s="2">
        <v>200616.08</v>
      </c>
      <c r="C913" s="2">
        <v>217104.58</v>
      </c>
      <c r="D913" s="2">
        <v>6007.0</v>
      </c>
      <c r="E913" s="5">
        <f t="shared" si="1"/>
        <v>33.39705011</v>
      </c>
      <c r="F913" s="7">
        <f t="shared" si="2"/>
        <v>-0.08218932401</v>
      </c>
      <c r="G913" s="5">
        <f t="shared" si="3"/>
        <v>-2.744880972</v>
      </c>
      <c r="H913" s="7">
        <f t="shared" si="4"/>
        <v>-0.08218932401</v>
      </c>
      <c r="I913" s="2" t="str">
        <f t="shared" si="5"/>
        <v>2016-06</v>
      </c>
      <c r="J913" s="2">
        <f t="shared" si="6"/>
        <v>2016</v>
      </c>
      <c r="K913" s="2">
        <f t="shared" si="7"/>
        <v>3</v>
      </c>
      <c r="L913" s="2" t="str">
        <f t="shared" si="8"/>
        <v>Tue</v>
      </c>
    </row>
    <row r="914" ht="15.0" customHeight="1">
      <c r="A914" s="4">
        <v>42550.0</v>
      </c>
      <c r="B914" s="2">
        <v>211700.81</v>
      </c>
      <c r="C914" s="2">
        <v>229023.81</v>
      </c>
      <c r="D914" s="2">
        <v>6345.0</v>
      </c>
      <c r="E914" s="5">
        <f t="shared" si="1"/>
        <v>33.36498188</v>
      </c>
      <c r="F914" s="7">
        <f t="shared" si="2"/>
        <v>-0.08182774549</v>
      </c>
      <c r="G914" s="5">
        <f t="shared" si="3"/>
        <v>-2.730181245</v>
      </c>
      <c r="H914" s="7">
        <f t="shared" si="4"/>
        <v>-0.08182774549</v>
      </c>
      <c r="I914" s="2" t="str">
        <f t="shared" si="5"/>
        <v>2016-06</v>
      </c>
      <c r="J914" s="2">
        <f t="shared" si="6"/>
        <v>2016</v>
      </c>
      <c r="K914" s="2">
        <f t="shared" si="7"/>
        <v>4</v>
      </c>
      <c r="L914" s="2" t="str">
        <f t="shared" si="8"/>
        <v>Wed</v>
      </c>
    </row>
    <row r="915" ht="15.0" customHeight="1">
      <c r="A915" s="4">
        <v>42551.0</v>
      </c>
      <c r="B915" s="2">
        <v>282757.71</v>
      </c>
      <c r="C915" s="2">
        <v>305894.18</v>
      </c>
      <c r="D915" s="2">
        <v>8482.0</v>
      </c>
      <c r="E915" s="5">
        <f t="shared" si="1"/>
        <v>33.33620726</v>
      </c>
      <c r="F915" s="7">
        <f t="shared" si="2"/>
        <v>-0.08182436475</v>
      </c>
      <c r="G915" s="5">
        <f t="shared" si="3"/>
        <v>-2.727713983</v>
      </c>
      <c r="H915" s="7">
        <f t="shared" si="4"/>
        <v>-0.08182436475</v>
      </c>
      <c r="I915" s="2" t="str">
        <f t="shared" si="5"/>
        <v>2016-06</v>
      </c>
      <c r="J915" s="2">
        <f t="shared" si="6"/>
        <v>2016</v>
      </c>
      <c r="K915" s="2">
        <f t="shared" si="7"/>
        <v>5</v>
      </c>
      <c r="L915" s="2" t="str">
        <f t="shared" si="8"/>
        <v>Thu</v>
      </c>
    </row>
    <row r="916" ht="15.0" customHeight="1">
      <c r="A916" s="4">
        <v>42552.0</v>
      </c>
      <c r="B916" s="2">
        <v>479010.16</v>
      </c>
      <c r="C916" s="2">
        <v>517742.19</v>
      </c>
      <c r="D916" s="2">
        <v>14344.0</v>
      </c>
      <c r="E916" s="5">
        <f t="shared" si="1"/>
        <v>33.3944618</v>
      </c>
      <c r="F916" s="7">
        <f t="shared" si="2"/>
        <v>-0.08085847281</v>
      </c>
      <c r="G916" s="5">
        <f t="shared" si="3"/>
        <v>-2.700225181</v>
      </c>
      <c r="H916" s="7">
        <f t="shared" si="4"/>
        <v>-0.08085847281</v>
      </c>
      <c r="I916" s="2" t="str">
        <f t="shared" si="5"/>
        <v>2016-07</v>
      </c>
      <c r="J916" s="2">
        <f t="shared" si="6"/>
        <v>2016</v>
      </c>
      <c r="K916" s="2">
        <f t="shared" si="7"/>
        <v>6</v>
      </c>
      <c r="L916" s="2" t="str">
        <f t="shared" si="8"/>
        <v>Fri</v>
      </c>
    </row>
    <row r="917" ht="15.0" customHeight="1">
      <c r="A917" s="4">
        <v>42553.0</v>
      </c>
      <c r="B917" s="2">
        <v>454543.29</v>
      </c>
      <c r="C917" s="2">
        <v>490487.02</v>
      </c>
      <c r="D917" s="2">
        <v>13609.0</v>
      </c>
      <c r="E917" s="5">
        <f t="shared" si="1"/>
        <v>33.40019766</v>
      </c>
      <c r="F917" s="7">
        <f t="shared" si="2"/>
        <v>-0.07907658256</v>
      </c>
      <c r="G917" s="5">
        <f t="shared" si="3"/>
        <v>-2.641173488</v>
      </c>
      <c r="H917" s="7">
        <f t="shared" si="4"/>
        <v>-0.07907658256</v>
      </c>
      <c r="I917" s="2" t="str">
        <f t="shared" si="5"/>
        <v>2016-07</v>
      </c>
      <c r="J917" s="2">
        <f t="shared" si="6"/>
        <v>2016</v>
      </c>
      <c r="K917" s="2">
        <f t="shared" si="7"/>
        <v>7</v>
      </c>
      <c r="L917" s="2" t="str">
        <f t="shared" si="8"/>
        <v>Sat</v>
      </c>
    </row>
    <row r="918" ht="15.0" customHeight="1">
      <c r="A918" s="4">
        <v>42554.0</v>
      </c>
      <c r="B918" s="2">
        <v>242185.18</v>
      </c>
      <c r="C918" s="2">
        <v>261534.91</v>
      </c>
      <c r="D918" s="2">
        <v>7259.0</v>
      </c>
      <c r="E918" s="5">
        <f t="shared" si="1"/>
        <v>33.36343573</v>
      </c>
      <c r="F918" s="7">
        <f t="shared" si="2"/>
        <v>-0.07989642471</v>
      </c>
      <c r="G918" s="5">
        <f t="shared" si="3"/>
        <v>-2.665619231</v>
      </c>
      <c r="H918" s="7">
        <f t="shared" si="4"/>
        <v>-0.07989642471</v>
      </c>
      <c r="I918" s="2" t="str">
        <f t="shared" si="5"/>
        <v>2016-07</v>
      </c>
      <c r="J918" s="2">
        <f t="shared" si="6"/>
        <v>2016</v>
      </c>
      <c r="K918" s="2">
        <f t="shared" si="7"/>
        <v>1</v>
      </c>
      <c r="L918" s="2" t="str">
        <f t="shared" si="8"/>
        <v>Sun</v>
      </c>
    </row>
    <row r="919" ht="15.0" customHeight="1">
      <c r="A919" s="4">
        <v>42555.0</v>
      </c>
      <c r="B919" s="2">
        <v>281531.69</v>
      </c>
      <c r="C919" s="2">
        <v>304052.48</v>
      </c>
      <c r="D919" s="2">
        <v>8431.0</v>
      </c>
      <c r="E919" s="5">
        <f t="shared" si="1"/>
        <v>33.39244336</v>
      </c>
      <c r="F919" s="7">
        <f t="shared" si="2"/>
        <v>-0.07999380105</v>
      </c>
      <c r="G919" s="5">
        <f t="shared" si="3"/>
        <v>-2.671188471</v>
      </c>
      <c r="H919" s="7">
        <f t="shared" si="4"/>
        <v>-0.07999380105</v>
      </c>
      <c r="I919" s="2" t="str">
        <f t="shared" si="5"/>
        <v>2016-07</v>
      </c>
      <c r="J919" s="2">
        <f t="shared" si="6"/>
        <v>2016</v>
      </c>
      <c r="K919" s="2">
        <f t="shared" si="7"/>
        <v>2</v>
      </c>
      <c r="L919" s="2" t="str">
        <f t="shared" si="8"/>
        <v>Mon</v>
      </c>
    </row>
    <row r="920" ht="15.0" customHeight="1">
      <c r="A920" s="4">
        <v>42556.0</v>
      </c>
      <c r="B920" s="2">
        <v>219363.22</v>
      </c>
      <c r="C920" s="2">
        <v>237026.35</v>
      </c>
      <c r="D920" s="2">
        <v>6577.0</v>
      </c>
      <c r="E920" s="5">
        <f t="shared" si="1"/>
        <v>33.35308195</v>
      </c>
      <c r="F920" s="7">
        <f t="shared" si="2"/>
        <v>-0.08052001607</v>
      </c>
      <c r="G920" s="5">
        <f t="shared" si="3"/>
        <v>-2.685590695</v>
      </c>
      <c r="H920" s="7">
        <f t="shared" si="4"/>
        <v>-0.08052001607</v>
      </c>
      <c r="I920" s="2" t="str">
        <f t="shared" si="5"/>
        <v>2016-07</v>
      </c>
      <c r="J920" s="2">
        <f t="shared" si="6"/>
        <v>2016</v>
      </c>
      <c r="K920" s="2">
        <f t="shared" si="7"/>
        <v>3</v>
      </c>
      <c r="L920" s="2" t="str">
        <f t="shared" si="8"/>
        <v>Tue</v>
      </c>
    </row>
    <row r="921" ht="15.0" customHeight="1">
      <c r="A921" s="4">
        <v>42557.0</v>
      </c>
      <c r="B921" s="2">
        <v>204005.58</v>
      </c>
      <c r="C921" s="2">
        <v>219722.89</v>
      </c>
      <c r="D921" s="2">
        <v>6098.0</v>
      </c>
      <c r="E921" s="5">
        <f t="shared" si="1"/>
        <v>33.4545064</v>
      </c>
      <c r="F921" s="7">
        <f t="shared" si="2"/>
        <v>-0.07704352989</v>
      </c>
      <c r="G921" s="5">
        <f t="shared" si="3"/>
        <v>-2.577453263</v>
      </c>
      <c r="H921" s="7">
        <f t="shared" si="4"/>
        <v>-0.07704352989</v>
      </c>
      <c r="I921" s="2" t="str">
        <f t="shared" si="5"/>
        <v>2016-07</v>
      </c>
      <c r="J921" s="2">
        <f t="shared" si="6"/>
        <v>2016</v>
      </c>
      <c r="K921" s="2">
        <f t="shared" si="7"/>
        <v>4</v>
      </c>
      <c r="L921" s="2" t="str">
        <f t="shared" si="8"/>
        <v>Wed</v>
      </c>
    </row>
    <row r="922" ht="15.0" customHeight="1">
      <c r="A922" s="4">
        <v>42558.0</v>
      </c>
      <c r="B922" s="2">
        <v>69579.07</v>
      </c>
      <c r="C922" s="2">
        <v>59598.92</v>
      </c>
      <c r="D922" s="2">
        <v>1654.0</v>
      </c>
      <c r="E922" s="5">
        <f t="shared" si="1"/>
        <v>42.06715236</v>
      </c>
      <c r="F922" s="7">
        <f t="shared" si="2"/>
        <v>0.1434360936</v>
      </c>
      <c r="G922" s="5">
        <f t="shared" si="3"/>
        <v>6.033948005</v>
      </c>
      <c r="H922" s="7">
        <f t="shared" si="4"/>
        <v>0.1434360936</v>
      </c>
      <c r="I922" s="2" t="str">
        <f t="shared" si="5"/>
        <v>2016-07</v>
      </c>
      <c r="J922" s="2">
        <f t="shared" si="6"/>
        <v>2016</v>
      </c>
      <c r="K922" s="2">
        <f t="shared" si="7"/>
        <v>5</v>
      </c>
      <c r="L922" s="2" t="str">
        <f t="shared" si="8"/>
        <v>Thu</v>
      </c>
    </row>
    <row r="923" ht="15.0" customHeight="1">
      <c r="A923" s="4">
        <v>42559.0</v>
      </c>
      <c r="B923" s="2">
        <v>87184.74</v>
      </c>
      <c r="C923" s="2">
        <v>74654.52</v>
      </c>
      <c r="D923" s="2">
        <v>2073.0</v>
      </c>
      <c r="E923" s="5">
        <f t="shared" si="1"/>
        <v>42.05727931</v>
      </c>
      <c r="F923" s="7">
        <f t="shared" si="2"/>
        <v>0.1437203345</v>
      </c>
      <c r="G923" s="5">
        <f t="shared" si="3"/>
        <v>6.044486252</v>
      </c>
      <c r="H923" s="7">
        <f t="shared" si="4"/>
        <v>0.1437203345</v>
      </c>
      <c r="I923" s="2" t="str">
        <f t="shared" si="5"/>
        <v>2016-07</v>
      </c>
      <c r="J923" s="2">
        <f t="shared" si="6"/>
        <v>2016</v>
      </c>
      <c r="K923" s="2">
        <f t="shared" si="7"/>
        <v>6</v>
      </c>
      <c r="L923" s="2" t="str">
        <f t="shared" si="8"/>
        <v>Fri</v>
      </c>
    </row>
    <row r="924" ht="15.0" customHeight="1">
      <c r="A924" s="4">
        <v>42560.0</v>
      </c>
      <c r="B924" s="2">
        <v>78700.44</v>
      </c>
      <c r="C924" s="2">
        <v>67367.38</v>
      </c>
      <c r="D924" s="2">
        <v>1871.0</v>
      </c>
      <c r="E924" s="5">
        <f t="shared" si="1"/>
        <v>42.06330305</v>
      </c>
      <c r="F924" s="7">
        <f t="shared" si="2"/>
        <v>0.1440024986</v>
      </c>
      <c r="G924" s="5">
        <f t="shared" si="3"/>
        <v>6.057220738</v>
      </c>
      <c r="H924" s="7">
        <f t="shared" si="4"/>
        <v>0.1440024986</v>
      </c>
      <c r="I924" s="2" t="str">
        <f t="shared" si="5"/>
        <v>2016-07</v>
      </c>
      <c r="J924" s="2">
        <f t="shared" si="6"/>
        <v>2016</v>
      </c>
      <c r="K924" s="2">
        <f t="shared" si="7"/>
        <v>7</v>
      </c>
      <c r="L924" s="2" t="str">
        <f t="shared" si="8"/>
        <v>Sat</v>
      </c>
    </row>
    <row r="925" ht="15.0" customHeight="1">
      <c r="A925" s="4">
        <v>42561.0</v>
      </c>
      <c r="B925" s="2">
        <v>39809.56</v>
      </c>
      <c r="C925" s="2">
        <v>34091.57</v>
      </c>
      <c r="D925" s="2">
        <v>946.0</v>
      </c>
      <c r="E925" s="5">
        <f t="shared" si="1"/>
        <v>42.08198732</v>
      </c>
      <c r="F925" s="7">
        <f t="shared" si="2"/>
        <v>0.1436335895</v>
      </c>
      <c r="G925" s="5">
        <f t="shared" si="3"/>
        <v>6.044386892</v>
      </c>
      <c r="H925" s="7">
        <f t="shared" si="4"/>
        <v>0.1436335895</v>
      </c>
      <c r="I925" s="2" t="str">
        <f t="shared" si="5"/>
        <v>2016-07</v>
      </c>
      <c r="J925" s="2">
        <f t="shared" si="6"/>
        <v>2016</v>
      </c>
      <c r="K925" s="2">
        <f t="shared" si="7"/>
        <v>1</v>
      </c>
      <c r="L925" s="2" t="str">
        <f t="shared" si="8"/>
        <v>Sun</v>
      </c>
    </row>
    <row r="926" ht="15.0" customHeight="1">
      <c r="A926" s="4">
        <v>42562.0</v>
      </c>
      <c r="B926" s="2">
        <v>45839.24</v>
      </c>
      <c r="C926" s="2">
        <v>39231.2</v>
      </c>
      <c r="D926" s="2">
        <v>1090.0</v>
      </c>
      <c r="E926" s="5">
        <f t="shared" si="1"/>
        <v>42.05434862</v>
      </c>
      <c r="F926" s="7">
        <f t="shared" si="2"/>
        <v>0.1441568403</v>
      </c>
      <c r="G926" s="5">
        <f t="shared" si="3"/>
        <v>6.062422018</v>
      </c>
      <c r="H926" s="7">
        <f t="shared" si="4"/>
        <v>0.1441568403</v>
      </c>
      <c r="I926" s="2" t="str">
        <f t="shared" si="5"/>
        <v>2016-07</v>
      </c>
      <c r="J926" s="2">
        <f t="shared" si="6"/>
        <v>2016</v>
      </c>
      <c r="K926" s="2">
        <f t="shared" si="7"/>
        <v>2</v>
      </c>
      <c r="L926" s="2" t="str">
        <f t="shared" si="8"/>
        <v>Mon</v>
      </c>
    </row>
    <row r="927" ht="15.0" customHeight="1">
      <c r="A927" s="4">
        <v>42563.0</v>
      </c>
      <c r="B927" s="2">
        <v>36851.76</v>
      </c>
      <c r="C927" s="2">
        <v>31574.33</v>
      </c>
      <c r="D927" s="2">
        <v>876.0</v>
      </c>
      <c r="E927" s="5">
        <f t="shared" si="1"/>
        <v>42.06821918</v>
      </c>
      <c r="F927" s="7">
        <f t="shared" si="2"/>
        <v>0.1432070002</v>
      </c>
      <c r="G927" s="5">
        <f t="shared" si="3"/>
        <v>6.02446347</v>
      </c>
      <c r="H927" s="7">
        <f t="shared" si="4"/>
        <v>0.1432070002</v>
      </c>
      <c r="I927" s="2" t="str">
        <f t="shared" si="5"/>
        <v>2016-07</v>
      </c>
      <c r="J927" s="2">
        <f t="shared" si="6"/>
        <v>2016</v>
      </c>
      <c r="K927" s="2">
        <f t="shared" si="7"/>
        <v>3</v>
      </c>
      <c r="L927" s="2" t="str">
        <f t="shared" si="8"/>
        <v>Tue</v>
      </c>
    </row>
    <row r="928" ht="15.0" customHeight="1">
      <c r="A928" s="4">
        <v>42564.0</v>
      </c>
      <c r="B928" s="2">
        <v>33225.67</v>
      </c>
      <c r="C928" s="2">
        <v>28489.08</v>
      </c>
      <c r="D928" s="2">
        <v>790.0</v>
      </c>
      <c r="E928" s="5">
        <f t="shared" si="1"/>
        <v>42.05781013</v>
      </c>
      <c r="F928" s="7">
        <f t="shared" si="2"/>
        <v>0.1425581486</v>
      </c>
      <c r="G928" s="5">
        <f t="shared" si="3"/>
        <v>5.995683544</v>
      </c>
      <c r="H928" s="7">
        <f t="shared" si="4"/>
        <v>0.1425581486</v>
      </c>
      <c r="I928" s="2" t="str">
        <f t="shared" si="5"/>
        <v>2016-07</v>
      </c>
      <c r="J928" s="2">
        <f t="shared" si="6"/>
        <v>2016</v>
      </c>
      <c r="K928" s="2">
        <f t="shared" si="7"/>
        <v>4</v>
      </c>
      <c r="L928" s="2" t="str">
        <f t="shared" si="8"/>
        <v>Wed</v>
      </c>
    </row>
    <row r="929" ht="15.0" customHeight="1">
      <c r="A929" s="4">
        <v>42565.0</v>
      </c>
      <c r="B929" s="2">
        <v>30423.39</v>
      </c>
      <c r="C929" s="2">
        <v>26053.8</v>
      </c>
      <c r="D929" s="2">
        <v>723.0</v>
      </c>
      <c r="E929" s="5">
        <f t="shared" si="1"/>
        <v>42.07937759</v>
      </c>
      <c r="F929" s="7">
        <f t="shared" si="2"/>
        <v>0.1436260062</v>
      </c>
      <c r="G929" s="5">
        <f t="shared" si="3"/>
        <v>6.043692946</v>
      </c>
      <c r="H929" s="7">
        <f t="shared" si="4"/>
        <v>0.1436260062</v>
      </c>
      <c r="I929" s="2" t="str">
        <f t="shared" si="5"/>
        <v>2016-07</v>
      </c>
      <c r="J929" s="2">
        <f t="shared" si="6"/>
        <v>2016</v>
      </c>
      <c r="K929" s="2">
        <f t="shared" si="7"/>
        <v>5</v>
      </c>
      <c r="L929" s="2" t="str">
        <f t="shared" si="8"/>
        <v>Thu</v>
      </c>
    </row>
    <row r="930" ht="15.0" customHeight="1">
      <c r="A930" s="4">
        <v>42566.0</v>
      </c>
      <c r="B930" s="2">
        <v>80345.64</v>
      </c>
      <c r="C930" s="2">
        <v>68788.09</v>
      </c>
      <c r="D930" s="2">
        <v>1910.0</v>
      </c>
      <c r="E930" s="5">
        <f t="shared" si="1"/>
        <v>42.0657801</v>
      </c>
      <c r="F930" s="7">
        <f t="shared" si="2"/>
        <v>0.1438478802</v>
      </c>
      <c r="G930" s="5">
        <f t="shared" si="3"/>
        <v>6.051073298</v>
      </c>
      <c r="H930" s="7">
        <f t="shared" si="4"/>
        <v>0.1438478802</v>
      </c>
      <c r="I930" s="2" t="str">
        <f t="shared" si="5"/>
        <v>2016-07</v>
      </c>
      <c r="J930" s="2">
        <f t="shared" si="6"/>
        <v>2016</v>
      </c>
      <c r="K930" s="2">
        <f t="shared" si="7"/>
        <v>6</v>
      </c>
      <c r="L930" s="2" t="str">
        <f t="shared" si="8"/>
        <v>Fri</v>
      </c>
    </row>
    <row r="931" ht="15.0" customHeight="1">
      <c r="A931" s="4">
        <v>42567.0</v>
      </c>
      <c r="B931" s="2">
        <v>95297.34</v>
      </c>
      <c r="C931" s="2">
        <v>81655.86</v>
      </c>
      <c r="D931" s="2">
        <v>2266.0</v>
      </c>
      <c r="E931" s="5">
        <f t="shared" si="1"/>
        <v>42.05531333</v>
      </c>
      <c r="F931" s="7">
        <f t="shared" si="2"/>
        <v>0.1431464929</v>
      </c>
      <c r="G931" s="5">
        <f t="shared" si="3"/>
        <v>6.020070609</v>
      </c>
      <c r="H931" s="7">
        <f t="shared" si="4"/>
        <v>0.1431464929</v>
      </c>
      <c r="I931" s="2" t="str">
        <f t="shared" si="5"/>
        <v>2016-07</v>
      </c>
      <c r="J931" s="2">
        <f t="shared" si="6"/>
        <v>2016</v>
      </c>
      <c r="K931" s="2">
        <f t="shared" si="7"/>
        <v>7</v>
      </c>
      <c r="L931" s="2" t="str">
        <f t="shared" si="8"/>
        <v>Sat</v>
      </c>
    </row>
    <row r="932" ht="15.0" customHeight="1">
      <c r="A932" s="4">
        <v>42568.0</v>
      </c>
      <c r="B932" s="2">
        <v>45324.05</v>
      </c>
      <c r="C932" s="2">
        <v>38809.81</v>
      </c>
      <c r="D932" s="2">
        <v>1078.0</v>
      </c>
      <c r="E932" s="5">
        <f t="shared" si="1"/>
        <v>42.04457328</v>
      </c>
      <c r="F932" s="7">
        <f t="shared" si="2"/>
        <v>0.1437259027</v>
      </c>
      <c r="G932" s="5">
        <f t="shared" si="3"/>
        <v>6.042894249</v>
      </c>
      <c r="H932" s="7">
        <f t="shared" si="4"/>
        <v>0.1437259027</v>
      </c>
      <c r="I932" s="2" t="str">
        <f t="shared" si="5"/>
        <v>2016-07</v>
      </c>
      <c r="J932" s="2">
        <f t="shared" si="6"/>
        <v>2016</v>
      </c>
      <c r="K932" s="2">
        <f t="shared" si="7"/>
        <v>1</v>
      </c>
      <c r="L932" s="2" t="str">
        <f t="shared" si="8"/>
        <v>Sun</v>
      </c>
    </row>
    <row r="933" ht="15.0" customHeight="1">
      <c r="A933" s="4">
        <v>42569.0</v>
      </c>
      <c r="B933" s="2">
        <v>51604.12</v>
      </c>
      <c r="C933" s="2">
        <v>44222.78</v>
      </c>
      <c r="D933" s="2">
        <v>1227.0</v>
      </c>
      <c r="E933" s="5">
        <f t="shared" si="1"/>
        <v>42.05714751</v>
      </c>
      <c r="F933" s="7">
        <f t="shared" si="2"/>
        <v>0.143037804</v>
      </c>
      <c r="G933" s="5">
        <f t="shared" si="3"/>
        <v>6.015762021</v>
      </c>
      <c r="H933" s="7">
        <f t="shared" si="4"/>
        <v>0.143037804</v>
      </c>
      <c r="I933" s="2" t="str">
        <f t="shared" si="5"/>
        <v>2016-07</v>
      </c>
      <c r="J933" s="2">
        <f t="shared" si="6"/>
        <v>2016</v>
      </c>
      <c r="K933" s="2">
        <f t="shared" si="7"/>
        <v>2</v>
      </c>
      <c r="L933" s="2" t="str">
        <f t="shared" si="8"/>
        <v>Mon</v>
      </c>
    </row>
    <row r="934" ht="15.0" customHeight="1">
      <c r="A934" s="4">
        <v>42570.0</v>
      </c>
      <c r="B934" s="2">
        <v>37870.12</v>
      </c>
      <c r="C934" s="2">
        <v>32436.8</v>
      </c>
      <c r="D934" s="2">
        <v>900.0</v>
      </c>
      <c r="E934" s="5">
        <f t="shared" si="1"/>
        <v>42.07791111</v>
      </c>
      <c r="F934" s="7">
        <f t="shared" si="2"/>
        <v>0.1434724791</v>
      </c>
      <c r="G934" s="5">
        <f t="shared" si="3"/>
        <v>6.037022222</v>
      </c>
      <c r="H934" s="7">
        <f t="shared" si="4"/>
        <v>0.1434724791</v>
      </c>
      <c r="I934" s="2" t="str">
        <f t="shared" si="5"/>
        <v>2016-07</v>
      </c>
      <c r="J934" s="2">
        <f t="shared" si="6"/>
        <v>2016</v>
      </c>
      <c r="K934" s="2">
        <f t="shared" si="7"/>
        <v>3</v>
      </c>
      <c r="L934" s="2" t="str">
        <f t="shared" si="8"/>
        <v>Tue</v>
      </c>
    </row>
    <row r="935" ht="15.0" customHeight="1">
      <c r="A935" s="4">
        <v>42571.0</v>
      </c>
      <c r="B935" s="2">
        <v>42723.52</v>
      </c>
      <c r="C935" s="2">
        <v>36607.39</v>
      </c>
      <c r="D935" s="2">
        <v>1016.0</v>
      </c>
      <c r="E935" s="5">
        <f t="shared" si="1"/>
        <v>42.05070866</v>
      </c>
      <c r="F935" s="7">
        <f t="shared" si="2"/>
        <v>0.1431560414</v>
      </c>
      <c r="G935" s="5">
        <f t="shared" si="3"/>
        <v>6.019812992</v>
      </c>
      <c r="H935" s="7">
        <f t="shared" si="4"/>
        <v>0.1431560414</v>
      </c>
      <c r="I935" s="2" t="str">
        <f t="shared" si="5"/>
        <v>2016-07</v>
      </c>
      <c r="J935" s="2">
        <f t="shared" si="6"/>
        <v>2016</v>
      </c>
      <c r="K935" s="2">
        <f t="shared" si="7"/>
        <v>4</v>
      </c>
      <c r="L935" s="2" t="str">
        <f t="shared" si="8"/>
        <v>Wed</v>
      </c>
    </row>
    <row r="936" ht="15.0" customHeight="1">
      <c r="A936" s="4">
        <v>42572.0</v>
      </c>
      <c r="B936" s="2">
        <v>35169.92</v>
      </c>
      <c r="C936" s="2">
        <v>30133.32</v>
      </c>
      <c r="D936" s="2">
        <v>836.0</v>
      </c>
      <c r="E936" s="5">
        <f t="shared" si="1"/>
        <v>42.0692823</v>
      </c>
      <c r="F936" s="7">
        <f t="shared" si="2"/>
        <v>0.1432076047</v>
      </c>
      <c r="G936" s="5">
        <f t="shared" si="3"/>
        <v>6.024641148</v>
      </c>
      <c r="H936" s="7">
        <f t="shared" si="4"/>
        <v>0.1432076047</v>
      </c>
      <c r="I936" s="2" t="str">
        <f t="shared" si="5"/>
        <v>2016-07</v>
      </c>
      <c r="J936" s="2">
        <f t="shared" si="6"/>
        <v>2016</v>
      </c>
      <c r="K936" s="2">
        <f t="shared" si="7"/>
        <v>5</v>
      </c>
      <c r="L936" s="2" t="str">
        <f t="shared" si="8"/>
        <v>Thu</v>
      </c>
    </row>
    <row r="937" ht="15.0" customHeight="1">
      <c r="A937" s="4">
        <v>42573.0</v>
      </c>
      <c r="B937" s="2">
        <v>61148.21</v>
      </c>
      <c r="C937" s="2">
        <v>52384.45</v>
      </c>
      <c r="D937" s="2">
        <v>1454.0</v>
      </c>
      <c r="E937" s="5">
        <f t="shared" si="1"/>
        <v>42.05516506</v>
      </c>
      <c r="F937" s="7">
        <f t="shared" si="2"/>
        <v>0.1433199762</v>
      </c>
      <c r="G937" s="5">
        <f t="shared" si="3"/>
        <v>6.027345254</v>
      </c>
      <c r="H937" s="7">
        <f t="shared" si="4"/>
        <v>0.1433199762</v>
      </c>
      <c r="I937" s="2" t="str">
        <f t="shared" si="5"/>
        <v>2016-07</v>
      </c>
      <c r="J937" s="2">
        <f t="shared" si="6"/>
        <v>2016</v>
      </c>
      <c r="K937" s="2">
        <f t="shared" si="7"/>
        <v>6</v>
      </c>
      <c r="L937" s="2" t="str">
        <f t="shared" si="8"/>
        <v>Fri</v>
      </c>
    </row>
    <row r="938" ht="15.0" customHeight="1">
      <c r="A938" s="4">
        <v>42574.0</v>
      </c>
      <c r="B938" s="2">
        <v>77171.7</v>
      </c>
      <c r="C938" s="2">
        <v>66113.83</v>
      </c>
      <c r="D938" s="2">
        <v>1835.0</v>
      </c>
      <c r="E938" s="5">
        <f t="shared" si="1"/>
        <v>42.05542234</v>
      </c>
      <c r="F938" s="7">
        <f t="shared" si="2"/>
        <v>0.143289185</v>
      </c>
      <c r="G938" s="5">
        <f t="shared" si="3"/>
        <v>6.026087193</v>
      </c>
      <c r="H938" s="7">
        <f t="shared" si="4"/>
        <v>0.143289185</v>
      </c>
      <c r="I938" s="2" t="str">
        <f t="shared" si="5"/>
        <v>2016-07</v>
      </c>
      <c r="J938" s="2">
        <f t="shared" si="6"/>
        <v>2016</v>
      </c>
      <c r="K938" s="2">
        <f t="shared" si="7"/>
        <v>7</v>
      </c>
      <c r="L938" s="2" t="str">
        <f t="shared" si="8"/>
        <v>Sat</v>
      </c>
    </row>
    <row r="939" ht="15.0" customHeight="1">
      <c r="A939" s="4">
        <v>42575.0</v>
      </c>
      <c r="B939" s="2">
        <v>40881.35</v>
      </c>
      <c r="C939" s="2">
        <v>35019.11</v>
      </c>
      <c r="D939" s="2">
        <v>972.0</v>
      </c>
      <c r="E939" s="5">
        <f t="shared" si="1"/>
        <v>42.05900206</v>
      </c>
      <c r="F939" s="7">
        <f t="shared" si="2"/>
        <v>0.1433964387</v>
      </c>
      <c r="G939" s="5">
        <f t="shared" si="3"/>
        <v>6.031111111</v>
      </c>
      <c r="H939" s="7">
        <f t="shared" si="4"/>
        <v>0.1433964387</v>
      </c>
      <c r="I939" s="2" t="str">
        <f t="shared" si="5"/>
        <v>2016-07</v>
      </c>
      <c r="J939" s="2">
        <f t="shared" si="6"/>
        <v>2016</v>
      </c>
      <c r="K939" s="2">
        <f t="shared" si="7"/>
        <v>1</v>
      </c>
      <c r="L939" s="2" t="str">
        <f t="shared" si="8"/>
        <v>Sun</v>
      </c>
    </row>
    <row r="940" ht="15.0" customHeight="1">
      <c r="A940" s="4">
        <v>42576.0</v>
      </c>
      <c r="B940" s="2">
        <v>43085.6</v>
      </c>
      <c r="C940" s="2">
        <v>36887.37</v>
      </c>
      <c r="D940" s="2">
        <v>1024.0</v>
      </c>
      <c r="E940" s="5">
        <f t="shared" si="1"/>
        <v>42.07578125</v>
      </c>
      <c r="F940" s="7">
        <f t="shared" si="2"/>
        <v>0.1438585049</v>
      </c>
      <c r="G940" s="5">
        <f t="shared" si="3"/>
        <v>6.052958984</v>
      </c>
      <c r="H940" s="7">
        <f t="shared" si="4"/>
        <v>0.1438585049</v>
      </c>
      <c r="I940" s="2" t="str">
        <f t="shared" si="5"/>
        <v>2016-07</v>
      </c>
      <c r="J940" s="2">
        <f t="shared" si="6"/>
        <v>2016</v>
      </c>
      <c r="K940" s="2">
        <f t="shared" si="7"/>
        <v>2</v>
      </c>
      <c r="L940" s="2" t="str">
        <f t="shared" si="8"/>
        <v>Mon</v>
      </c>
    </row>
    <row r="941" ht="15.0" customHeight="1">
      <c r="A941" s="4">
        <v>42577.0</v>
      </c>
      <c r="B941" s="2">
        <v>43894.99</v>
      </c>
      <c r="C941" s="2">
        <v>37604.66</v>
      </c>
      <c r="D941" s="2">
        <v>1044.0</v>
      </c>
      <c r="E941" s="5">
        <f t="shared" si="1"/>
        <v>42.04500958</v>
      </c>
      <c r="F941" s="7">
        <f t="shared" si="2"/>
        <v>0.1433040536</v>
      </c>
      <c r="G941" s="5">
        <f t="shared" si="3"/>
        <v>6.025220307</v>
      </c>
      <c r="H941" s="7">
        <f t="shared" si="4"/>
        <v>0.1433040536</v>
      </c>
      <c r="I941" s="2" t="str">
        <f t="shared" si="5"/>
        <v>2016-07</v>
      </c>
      <c r="J941" s="2">
        <f t="shared" si="6"/>
        <v>2016</v>
      </c>
      <c r="K941" s="2">
        <f t="shared" si="7"/>
        <v>3</v>
      </c>
      <c r="L941" s="2" t="str">
        <f t="shared" si="8"/>
        <v>Tue</v>
      </c>
    </row>
    <row r="942" ht="15.0" customHeight="1">
      <c r="A942" s="4">
        <v>42578.0</v>
      </c>
      <c r="B942" s="2">
        <v>67780.73</v>
      </c>
      <c r="C942" s="2">
        <v>58196.15</v>
      </c>
      <c r="D942" s="2">
        <v>1611.0</v>
      </c>
      <c r="E942" s="5">
        <f t="shared" si="1"/>
        <v>42.07369957</v>
      </c>
      <c r="F942" s="7">
        <f t="shared" si="2"/>
        <v>0.1414056768</v>
      </c>
      <c r="G942" s="5">
        <f t="shared" si="3"/>
        <v>5.949459963</v>
      </c>
      <c r="H942" s="7">
        <f t="shared" si="4"/>
        <v>0.1414056768</v>
      </c>
      <c r="I942" s="2" t="str">
        <f t="shared" si="5"/>
        <v>2016-07</v>
      </c>
      <c r="J942" s="2">
        <f t="shared" si="6"/>
        <v>2016</v>
      </c>
      <c r="K942" s="2">
        <f t="shared" si="7"/>
        <v>4</v>
      </c>
      <c r="L942" s="2" t="str">
        <f t="shared" si="8"/>
        <v>Wed</v>
      </c>
    </row>
    <row r="943" ht="15.0" customHeight="1">
      <c r="A943" s="4">
        <v>42579.0</v>
      </c>
      <c r="B943" s="2">
        <v>51907.94</v>
      </c>
      <c r="C943" s="2">
        <v>44544.63</v>
      </c>
      <c r="D943" s="2">
        <v>1234.0</v>
      </c>
      <c r="E943" s="5">
        <f t="shared" si="1"/>
        <v>42.0647812</v>
      </c>
      <c r="F943" s="7">
        <f t="shared" si="2"/>
        <v>0.1418532502</v>
      </c>
      <c r="G943" s="5">
        <f t="shared" si="3"/>
        <v>5.967025932</v>
      </c>
      <c r="H943" s="7">
        <f t="shared" si="4"/>
        <v>0.1418532502</v>
      </c>
      <c r="I943" s="2" t="str">
        <f t="shared" si="5"/>
        <v>2016-07</v>
      </c>
      <c r="J943" s="2">
        <f t="shared" si="6"/>
        <v>2016</v>
      </c>
      <c r="K943" s="2">
        <f t="shared" si="7"/>
        <v>5</v>
      </c>
      <c r="L943" s="2" t="str">
        <f t="shared" si="8"/>
        <v>Thu</v>
      </c>
    </row>
    <row r="944" ht="15.0" customHeight="1">
      <c r="A944" s="4">
        <v>42580.0</v>
      </c>
      <c r="B944" s="2">
        <v>93508.63</v>
      </c>
      <c r="C944" s="2">
        <v>80346.69</v>
      </c>
      <c r="D944" s="2">
        <v>2223.0</v>
      </c>
      <c r="E944" s="5">
        <f t="shared" si="1"/>
        <v>42.06416104</v>
      </c>
      <c r="F944" s="7">
        <f t="shared" si="2"/>
        <v>0.14075642</v>
      </c>
      <c r="G944" s="5">
        <f t="shared" si="3"/>
        <v>5.92080072</v>
      </c>
      <c r="H944" s="7">
        <f t="shared" si="4"/>
        <v>0.14075642</v>
      </c>
      <c r="I944" s="2" t="str">
        <f t="shared" si="5"/>
        <v>2016-07</v>
      </c>
      <c r="J944" s="2">
        <f t="shared" si="6"/>
        <v>2016</v>
      </c>
      <c r="K944" s="2">
        <f t="shared" si="7"/>
        <v>6</v>
      </c>
      <c r="L944" s="2" t="str">
        <f t="shared" si="8"/>
        <v>Fri</v>
      </c>
    </row>
    <row r="945" ht="15.0" customHeight="1">
      <c r="A945" s="4">
        <v>42581.0</v>
      </c>
      <c r="B945" s="2">
        <v>95343.6</v>
      </c>
      <c r="C945" s="2">
        <v>81874.29</v>
      </c>
      <c r="D945" s="2">
        <v>2267.0</v>
      </c>
      <c r="E945" s="5">
        <f t="shared" si="1"/>
        <v>42.05716806</v>
      </c>
      <c r="F945" s="7">
        <f t="shared" si="2"/>
        <v>0.1412712547</v>
      </c>
      <c r="G945" s="5">
        <f t="shared" si="3"/>
        <v>5.941468902</v>
      </c>
      <c r="H945" s="7">
        <f t="shared" si="4"/>
        <v>0.1412712547</v>
      </c>
      <c r="I945" s="2" t="str">
        <f t="shared" si="5"/>
        <v>2016-07</v>
      </c>
      <c r="J945" s="2">
        <f t="shared" si="6"/>
        <v>2016</v>
      </c>
      <c r="K945" s="2">
        <f t="shared" si="7"/>
        <v>7</v>
      </c>
      <c r="L945" s="2" t="str">
        <f t="shared" si="8"/>
        <v>Sat</v>
      </c>
    </row>
    <row r="946" ht="15.0" customHeight="1">
      <c r="A946" s="4">
        <v>42582.0</v>
      </c>
      <c r="B946" s="2">
        <v>59514.99</v>
      </c>
      <c r="C946" s="2">
        <v>51145.4</v>
      </c>
      <c r="D946" s="2">
        <v>1415.0</v>
      </c>
      <c r="E946" s="5">
        <f t="shared" si="1"/>
        <v>42.0600636</v>
      </c>
      <c r="F946" s="7">
        <f t="shared" si="2"/>
        <v>0.1406299489</v>
      </c>
      <c r="G946" s="5">
        <f t="shared" si="3"/>
        <v>5.914904594</v>
      </c>
      <c r="H946" s="7">
        <f t="shared" si="4"/>
        <v>0.1406299489</v>
      </c>
      <c r="I946" s="2" t="str">
        <f t="shared" si="5"/>
        <v>2016-07</v>
      </c>
      <c r="J946" s="2">
        <f t="shared" si="6"/>
        <v>2016</v>
      </c>
      <c r="K946" s="2">
        <f t="shared" si="7"/>
        <v>1</v>
      </c>
      <c r="L946" s="2" t="str">
        <f t="shared" si="8"/>
        <v>Sun</v>
      </c>
    </row>
    <row r="947" ht="15.0" customHeight="1">
      <c r="A947" s="4">
        <v>42583.0</v>
      </c>
      <c r="B947" s="2">
        <v>65133.97</v>
      </c>
      <c r="C947" s="2">
        <v>55946.06</v>
      </c>
      <c r="D947" s="2">
        <v>1548.0</v>
      </c>
      <c r="E947" s="5">
        <f t="shared" si="1"/>
        <v>42.07620801</v>
      </c>
      <c r="F947" s="7">
        <f t="shared" si="2"/>
        <v>0.1410617225</v>
      </c>
      <c r="G947" s="5">
        <f t="shared" si="3"/>
        <v>5.935342377</v>
      </c>
      <c r="H947" s="7">
        <f t="shared" si="4"/>
        <v>0.1410617225</v>
      </c>
      <c r="I947" s="2" t="str">
        <f t="shared" si="5"/>
        <v>2016-08</v>
      </c>
      <c r="J947" s="2">
        <f t="shared" si="6"/>
        <v>2016</v>
      </c>
      <c r="K947" s="2">
        <f t="shared" si="7"/>
        <v>2</v>
      </c>
      <c r="L947" s="2" t="str">
        <f t="shared" si="8"/>
        <v>Mon</v>
      </c>
    </row>
    <row r="948" ht="15.0" customHeight="1">
      <c r="A948" s="4">
        <v>42584.0</v>
      </c>
      <c r="B948" s="2">
        <v>70641.25</v>
      </c>
      <c r="C948" s="2">
        <v>60629.55</v>
      </c>
      <c r="D948" s="2">
        <v>1679.0</v>
      </c>
      <c r="E948" s="5">
        <f t="shared" si="1"/>
        <v>42.07340679</v>
      </c>
      <c r="F948" s="7">
        <f t="shared" si="2"/>
        <v>0.1417259746</v>
      </c>
      <c r="G948" s="5">
        <f t="shared" si="3"/>
        <v>5.96289458</v>
      </c>
      <c r="H948" s="7">
        <f t="shared" si="4"/>
        <v>0.1417259746</v>
      </c>
      <c r="I948" s="2" t="str">
        <f t="shared" si="5"/>
        <v>2016-08</v>
      </c>
      <c r="J948" s="2">
        <f t="shared" si="6"/>
        <v>2016</v>
      </c>
      <c r="K948" s="2">
        <f t="shared" si="7"/>
        <v>3</v>
      </c>
      <c r="L948" s="2" t="str">
        <f t="shared" si="8"/>
        <v>Tue</v>
      </c>
    </row>
    <row r="949" ht="15.0" customHeight="1">
      <c r="A949" s="4">
        <v>42585.0</v>
      </c>
      <c r="B949" s="2">
        <v>48442.17</v>
      </c>
      <c r="C949" s="2">
        <v>41610.78</v>
      </c>
      <c r="D949" s="2">
        <v>1152.0</v>
      </c>
      <c r="E949" s="5">
        <f t="shared" si="1"/>
        <v>42.05049479</v>
      </c>
      <c r="F949" s="7">
        <f t="shared" si="2"/>
        <v>0.1410215521</v>
      </c>
      <c r="G949" s="5">
        <f t="shared" si="3"/>
        <v>5.930026042</v>
      </c>
      <c r="H949" s="7">
        <f t="shared" si="4"/>
        <v>0.1410215521</v>
      </c>
      <c r="I949" s="2" t="str">
        <f t="shared" si="5"/>
        <v>2016-08</v>
      </c>
      <c r="J949" s="2">
        <f t="shared" si="6"/>
        <v>2016</v>
      </c>
      <c r="K949" s="2">
        <f t="shared" si="7"/>
        <v>4</v>
      </c>
      <c r="L949" s="2" t="str">
        <f t="shared" si="8"/>
        <v>Wed</v>
      </c>
    </row>
    <row r="950" ht="15.0" customHeight="1">
      <c r="A950" s="4">
        <v>42586.0</v>
      </c>
      <c r="B950" s="2">
        <v>46291.37</v>
      </c>
      <c r="C950" s="2">
        <v>39783.36</v>
      </c>
      <c r="D950" s="2">
        <v>1101.0</v>
      </c>
      <c r="E950" s="5">
        <f t="shared" si="1"/>
        <v>42.04484105</v>
      </c>
      <c r="F950" s="7">
        <f t="shared" si="2"/>
        <v>0.1405879757</v>
      </c>
      <c r="G950" s="5">
        <f t="shared" si="3"/>
        <v>5.910999092</v>
      </c>
      <c r="H950" s="7">
        <f t="shared" si="4"/>
        <v>0.1405879757</v>
      </c>
      <c r="I950" s="2" t="str">
        <f t="shared" si="5"/>
        <v>2016-08</v>
      </c>
      <c r="J950" s="2">
        <f t="shared" si="6"/>
        <v>2016</v>
      </c>
      <c r="K950" s="2">
        <f t="shared" si="7"/>
        <v>5</v>
      </c>
      <c r="L950" s="2" t="str">
        <f t="shared" si="8"/>
        <v>Thu</v>
      </c>
    </row>
    <row r="951" ht="15.0" customHeight="1">
      <c r="A951" s="4">
        <v>42587.0</v>
      </c>
      <c r="B951" s="2">
        <v>73453.14</v>
      </c>
      <c r="C951" s="2">
        <v>63386.49</v>
      </c>
      <c r="D951" s="2">
        <v>1746.0</v>
      </c>
      <c r="E951" s="5">
        <f t="shared" si="1"/>
        <v>42.06938144</v>
      </c>
      <c r="F951" s="7">
        <f t="shared" si="2"/>
        <v>0.1370486</v>
      </c>
      <c r="G951" s="5">
        <f t="shared" si="3"/>
        <v>5.765549828</v>
      </c>
      <c r="H951" s="7">
        <f t="shared" si="4"/>
        <v>0.1370486</v>
      </c>
      <c r="I951" s="2" t="str">
        <f t="shared" si="5"/>
        <v>2016-08</v>
      </c>
      <c r="J951" s="2">
        <f t="shared" si="6"/>
        <v>2016</v>
      </c>
      <c r="K951" s="2">
        <f t="shared" si="7"/>
        <v>6</v>
      </c>
      <c r="L951" s="2" t="str">
        <f t="shared" si="8"/>
        <v>Fri</v>
      </c>
    </row>
    <row r="952" ht="15.0" customHeight="1">
      <c r="A952" s="4">
        <v>42588.0</v>
      </c>
      <c r="B952" s="2">
        <v>71508.9</v>
      </c>
      <c r="C952" s="2">
        <v>61500.57</v>
      </c>
      <c r="D952" s="2">
        <v>1700.0</v>
      </c>
      <c r="E952" s="5">
        <f t="shared" si="1"/>
        <v>42.06405882</v>
      </c>
      <c r="F952" s="7">
        <f t="shared" si="2"/>
        <v>0.1399592219</v>
      </c>
      <c r="G952" s="5">
        <f t="shared" si="3"/>
        <v>5.887252941</v>
      </c>
      <c r="H952" s="7">
        <f t="shared" si="4"/>
        <v>0.1399592219</v>
      </c>
      <c r="I952" s="2" t="str">
        <f t="shared" si="5"/>
        <v>2016-08</v>
      </c>
      <c r="J952" s="2">
        <f t="shared" si="6"/>
        <v>2016</v>
      </c>
      <c r="K952" s="2">
        <f t="shared" si="7"/>
        <v>7</v>
      </c>
      <c r="L952" s="2" t="str">
        <f t="shared" si="8"/>
        <v>Sat</v>
      </c>
    </row>
    <row r="953" ht="15.0" customHeight="1">
      <c r="A953" s="4">
        <v>42589.0</v>
      </c>
      <c r="B953" s="2">
        <v>30066.13</v>
      </c>
      <c r="C953" s="2">
        <v>25872.49</v>
      </c>
      <c r="D953" s="2">
        <v>715.0</v>
      </c>
      <c r="E953" s="5">
        <f t="shared" si="1"/>
        <v>42.05053147</v>
      </c>
      <c r="F953" s="7">
        <f t="shared" si="2"/>
        <v>0.1394805384</v>
      </c>
      <c r="G953" s="5">
        <f t="shared" si="3"/>
        <v>5.865230769</v>
      </c>
      <c r="H953" s="7">
        <f t="shared" si="4"/>
        <v>0.1394805384</v>
      </c>
      <c r="I953" s="2" t="str">
        <f t="shared" si="5"/>
        <v>2016-08</v>
      </c>
      <c r="J953" s="2">
        <f t="shared" si="6"/>
        <v>2016</v>
      </c>
      <c r="K953" s="2">
        <f t="shared" si="7"/>
        <v>1</v>
      </c>
      <c r="L953" s="2" t="str">
        <f t="shared" si="8"/>
        <v>Sun</v>
      </c>
    </row>
    <row r="954" ht="15.0" customHeight="1">
      <c r="A954" s="4">
        <v>42590.0</v>
      </c>
      <c r="B954" s="2">
        <v>37726.62</v>
      </c>
      <c r="C954" s="2">
        <v>32490.14</v>
      </c>
      <c r="D954" s="2">
        <v>897.0</v>
      </c>
      <c r="E954" s="5">
        <f t="shared" si="1"/>
        <v>42.05866221</v>
      </c>
      <c r="F954" s="7">
        <f t="shared" si="2"/>
        <v>0.1388006665</v>
      </c>
      <c r="G954" s="5">
        <f t="shared" si="3"/>
        <v>5.837770346</v>
      </c>
      <c r="H954" s="7">
        <f t="shared" si="4"/>
        <v>0.1388006665</v>
      </c>
      <c r="I954" s="2" t="str">
        <f t="shared" si="5"/>
        <v>2016-08</v>
      </c>
      <c r="J954" s="2">
        <f t="shared" si="6"/>
        <v>2016</v>
      </c>
      <c r="K954" s="2">
        <f t="shared" si="7"/>
        <v>2</v>
      </c>
      <c r="L954" s="2" t="str">
        <f t="shared" si="8"/>
        <v>Mon</v>
      </c>
    </row>
    <row r="955" ht="15.0" customHeight="1">
      <c r="A955" s="4">
        <v>42591.0</v>
      </c>
      <c r="B955" s="2">
        <v>30831.69</v>
      </c>
      <c r="C955" s="2">
        <v>26577.08</v>
      </c>
      <c r="D955" s="2">
        <v>733.0</v>
      </c>
      <c r="E955" s="5">
        <f t="shared" si="1"/>
        <v>42.06233288</v>
      </c>
      <c r="F955" s="7">
        <f t="shared" si="2"/>
        <v>0.1379947061</v>
      </c>
      <c r="G955" s="5">
        <f t="shared" si="3"/>
        <v>5.804379263</v>
      </c>
      <c r="H955" s="7">
        <f t="shared" si="4"/>
        <v>0.1379947061</v>
      </c>
      <c r="I955" s="2" t="str">
        <f t="shared" si="5"/>
        <v>2016-08</v>
      </c>
      <c r="J955" s="2">
        <f t="shared" si="6"/>
        <v>2016</v>
      </c>
      <c r="K955" s="2">
        <f t="shared" si="7"/>
        <v>3</v>
      </c>
      <c r="L955" s="2" t="str">
        <f t="shared" si="8"/>
        <v>Tue</v>
      </c>
    </row>
    <row r="956" ht="15.0" customHeight="1">
      <c r="A956" s="4">
        <v>42592.0</v>
      </c>
      <c r="B956" s="2">
        <v>146811.46</v>
      </c>
      <c r="C956" s="2">
        <v>155135.63</v>
      </c>
      <c r="D956" s="2">
        <v>4282.0</v>
      </c>
      <c r="E956" s="5">
        <f t="shared" si="1"/>
        <v>34.28572163</v>
      </c>
      <c r="F956" s="7">
        <f t="shared" si="2"/>
        <v>-0.05669972903</v>
      </c>
      <c r="G956" s="5">
        <f t="shared" si="3"/>
        <v>-1.943991126</v>
      </c>
      <c r="H956" s="7">
        <f t="shared" si="4"/>
        <v>-0.05669972903</v>
      </c>
      <c r="I956" s="2" t="str">
        <f t="shared" si="5"/>
        <v>2016-08</v>
      </c>
      <c r="J956" s="2">
        <f t="shared" si="6"/>
        <v>2016</v>
      </c>
      <c r="K956" s="2">
        <f t="shared" si="7"/>
        <v>4</v>
      </c>
      <c r="L956" s="2" t="str">
        <f t="shared" si="8"/>
        <v>Wed</v>
      </c>
    </row>
    <row r="957" ht="15.0" customHeight="1">
      <c r="A957" s="4">
        <v>42593.0</v>
      </c>
      <c r="B957" s="2">
        <v>99867.33</v>
      </c>
      <c r="C957" s="2">
        <v>103826.7</v>
      </c>
      <c r="D957" s="2">
        <v>2867.0</v>
      </c>
      <c r="E957" s="5">
        <f t="shared" si="1"/>
        <v>34.8333903</v>
      </c>
      <c r="F957" s="7">
        <f t="shared" si="2"/>
        <v>-0.03964629874</v>
      </c>
      <c r="G957" s="5">
        <f t="shared" si="3"/>
        <v>-1.381014998</v>
      </c>
      <c r="H957" s="7">
        <f t="shared" si="4"/>
        <v>-0.03964629874</v>
      </c>
      <c r="I957" s="2" t="str">
        <f t="shared" si="5"/>
        <v>2016-08</v>
      </c>
      <c r="J957" s="2">
        <f t="shared" si="6"/>
        <v>2016</v>
      </c>
      <c r="K957" s="2">
        <f t="shared" si="7"/>
        <v>5</v>
      </c>
      <c r="L957" s="2" t="str">
        <f t="shared" si="8"/>
        <v>Thu</v>
      </c>
    </row>
    <row r="958" ht="15.0" customHeight="1">
      <c r="A958" s="4">
        <v>42594.0</v>
      </c>
      <c r="B958" s="2">
        <v>210664.86</v>
      </c>
      <c r="C958" s="2">
        <v>220379.28</v>
      </c>
      <c r="D958" s="2">
        <v>6082.0</v>
      </c>
      <c r="E958" s="5">
        <f t="shared" si="1"/>
        <v>34.63743177</v>
      </c>
      <c r="F958" s="7">
        <f t="shared" si="2"/>
        <v>-0.04611314863</v>
      </c>
      <c r="G958" s="5">
        <f t="shared" si="3"/>
        <v>-1.597241039</v>
      </c>
      <c r="H958" s="7">
        <f t="shared" si="4"/>
        <v>-0.04611314863</v>
      </c>
      <c r="I958" s="2" t="str">
        <f t="shared" si="5"/>
        <v>2016-08</v>
      </c>
      <c r="J958" s="2">
        <f t="shared" si="6"/>
        <v>2016</v>
      </c>
      <c r="K958" s="2">
        <f t="shared" si="7"/>
        <v>6</v>
      </c>
      <c r="L958" s="2" t="str">
        <f t="shared" si="8"/>
        <v>Fri</v>
      </c>
    </row>
    <row r="959" ht="15.0" customHeight="1">
      <c r="A959" s="4">
        <v>42595.0</v>
      </c>
      <c r="B959" s="2">
        <v>266271.04</v>
      </c>
      <c r="C959" s="2">
        <v>281658.42</v>
      </c>
      <c r="D959" s="2">
        <v>7771.0</v>
      </c>
      <c r="E959" s="5">
        <f t="shared" si="1"/>
        <v>34.26470724</v>
      </c>
      <c r="F959" s="7">
        <f t="shared" si="2"/>
        <v>-0.05778840988</v>
      </c>
      <c r="G959" s="5">
        <f t="shared" si="3"/>
        <v>-1.980102947</v>
      </c>
      <c r="H959" s="7">
        <f t="shared" si="4"/>
        <v>-0.05778840988</v>
      </c>
      <c r="I959" s="2" t="str">
        <f t="shared" si="5"/>
        <v>2016-08</v>
      </c>
      <c r="J959" s="2">
        <f t="shared" si="6"/>
        <v>2016</v>
      </c>
      <c r="K959" s="2">
        <f t="shared" si="7"/>
        <v>7</v>
      </c>
      <c r="L959" s="2" t="str">
        <f t="shared" si="8"/>
        <v>Sat</v>
      </c>
    </row>
    <row r="960" ht="15.0" customHeight="1">
      <c r="A960" s="4">
        <v>42596.0</v>
      </c>
      <c r="B960" s="2">
        <v>123084.04</v>
      </c>
      <c r="C960" s="2">
        <v>129601.53</v>
      </c>
      <c r="D960" s="2">
        <v>3576.0</v>
      </c>
      <c r="E960" s="5">
        <f t="shared" si="1"/>
        <v>34.41947427</v>
      </c>
      <c r="F960" s="7">
        <f t="shared" si="2"/>
        <v>-0.05295154433</v>
      </c>
      <c r="G960" s="5">
        <f t="shared" si="3"/>
        <v>-1.822564318</v>
      </c>
      <c r="H960" s="7">
        <f t="shared" si="4"/>
        <v>-0.05295154433</v>
      </c>
      <c r="I960" s="2" t="str">
        <f t="shared" si="5"/>
        <v>2016-08</v>
      </c>
      <c r="J960" s="2">
        <f t="shared" si="6"/>
        <v>2016</v>
      </c>
      <c r="K960" s="2">
        <f t="shared" si="7"/>
        <v>1</v>
      </c>
      <c r="L960" s="2" t="str">
        <f t="shared" si="8"/>
        <v>Sun</v>
      </c>
    </row>
    <row r="961" ht="15.0" customHeight="1">
      <c r="A961" s="4">
        <v>42597.0</v>
      </c>
      <c r="B961" s="2">
        <v>162727.52</v>
      </c>
      <c r="C961" s="2">
        <v>168580.17</v>
      </c>
      <c r="D961" s="2">
        <v>4649.0</v>
      </c>
      <c r="E961" s="5">
        <f t="shared" si="1"/>
        <v>35.00269305</v>
      </c>
      <c r="F961" s="7">
        <f t="shared" si="2"/>
        <v>-0.03596595093</v>
      </c>
      <c r="G961" s="5">
        <f t="shared" si="3"/>
        <v>-1.258905141</v>
      </c>
      <c r="H961" s="7">
        <f t="shared" si="4"/>
        <v>-0.03596595093</v>
      </c>
      <c r="I961" s="2" t="str">
        <f t="shared" si="5"/>
        <v>2016-08</v>
      </c>
      <c r="J961" s="2">
        <f t="shared" si="6"/>
        <v>2016</v>
      </c>
      <c r="K961" s="2">
        <f t="shared" si="7"/>
        <v>2</v>
      </c>
      <c r="L961" s="2" t="str">
        <f t="shared" si="8"/>
        <v>Mon</v>
      </c>
    </row>
    <row r="962" ht="15.0" customHeight="1">
      <c r="A962" s="4">
        <v>42598.0</v>
      </c>
      <c r="B962" s="2">
        <v>114708.95</v>
      </c>
      <c r="C962" s="2">
        <v>119758.06</v>
      </c>
      <c r="D962" s="2">
        <v>3302.0</v>
      </c>
      <c r="E962" s="5">
        <f t="shared" si="1"/>
        <v>34.7392338</v>
      </c>
      <c r="F962" s="7">
        <f t="shared" si="2"/>
        <v>-0.04401670489</v>
      </c>
      <c r="G962" s="5">
        <f t="shared" si="3"/>
        <v>-1.529106602</v>
      </c>
      <c r="H962" s="7">
        <f t="shared" si="4"/>
        <v>-0.04401670489</v>
      </c>
      <c r="I962" s="2" t="str">
        <f t="shared" si="5"/>
        <v>2016-08</v>
      </c>
      <c r="J962" s="2">
        <f t="shared" si="6"/>
        <v>2016</v>
      </c>
      <c r="K962" s="2">
        <f t="shared" si="7"/>
        <v>3</v>
      </c>
      <c r="L962" s="2" t="str">
        <f t="shared" si="8"/>
        <v>Tue</v>
      </c>
    </row>
    <row r="963" ht="15.0" customHeight="1">
      <c r="A963" s="4">
        <v>42599.0</v>
      </c>
      <c r="B963" s="2">
        <v>122318.91</v>
      </c>
      <c r="C963" s="2">
        <v>128298.34</v>
      </c>
      <c r="D963" s="2">
        <v>3536.0</v>
      </c>
      <c r="E963" s="5">
        <f t="shared" si="1"/>
        <v>34.59245192</v>
      </c>
      <c r="F963" s="7">
        <f t="shared" si="2"/>
        <v>-0.0488839379</v>
      </c>
      <c r="G963" s="5">
        <f t="shared" si="3"/>
        <v>-1.691015271</v>
      </c>
      <c r="H963" s="7">
        <f t="shared" si="4"/>
        <v>-0.0488839379</v>
      </c>
      <c r="I963" s="2" t="str">
        <f t="shared" si="5"/>
        <v>2016-08</v>
      </c>
      <c r="J963" s="2">
        <f t="shared" si="6"/>
        <v>2016</v>
      </c>
      <c r="K963" s="2">
        <f t="shared" si="7"/>
        <v>4</v>
      </c>
      <c r="L963" s="2" t="str">
        <f t="shared" si="8"/>
        <v>Wed</v>
      </c>
    </row>
    <row r="964" ht="15.0" customHeight="1">
      <c r="A964" s="4">
        <v>42600.0</v>
      </c>
      <c r="B964" s="2">
        <v>112010.34</v>
      </c>
      <c r="C964" s="2">
        <v>117374.19</v>
      </c>
      <c r="D964" s="2">
        <v>3236.0</v>
      </c>
      <c r="E964" s="5">
        <f t="shared" si="1"/>
        <v>34.61382571</v>
      </c>
      <c r="F964" s="7">
        <f t="shared" si="2"/>
        <v>-0.04788709685</v>
      </c>
      <c r="G964" s="5">
        <f t="shared" si="3"/>
        <v>-1.657555624</v>
      </c>
      <c r="H964" s="7">
        <f t="shared" si="4"/>
        <v>-0.04788709685</v>
      </c>
      <c r="I964" s="2" t="str">
        <f t="shared" si="5"/>
        <v>2016-08</v>
      </c>
      <c r="J964" s="2">
        <f t="shared" si="6"/>
        <v>2016</v>
      </c>
      <c r="K964" s="2">
        <f t="shared" si="7"/>
        <v>5</v>
      </c>
      <c r="L964" s="2" t="str">
        <f t="shared" si="8"/>
        <v>Thu</v>
      </c>
    </row>
    <row r="965" ht="15.0" customHeight="1">
      <c r="A965" s="4">
        <v>42601.0</v>
      </c>
      <c r="B965" s="2">
        <v>229861.47</v>
      </c>
      <c r="C965" s="2">
        <v>241090.13</v>
      </c>
      <c r="D965" s="2">
        <v>6646.0</v>
      </c>
      <c r="E965" s="5">
        <f t="shared" si="1"/>
        <v>34.58643846</v>
      </c>
      <c r="F965" s="7">
        <f t="shared" si="2"/>
        <v>-0.04884968325</v>
      </c>
      <c r="G965" s="5">
        <f t="shared" si="3"/>
        <v>-1.689536563</v>
      </c>
      <c r="H965" s="7">
        <f t="shared" si="4"/>
        <v>-0.04884968325</v>
      </c>
      <c r="I965" s="2" t="str">
        <f t="shared" si="5"/>
        <v>2016-08</v>
      </c>
      <c r="J965" s="2">
        <f t="shared" si="6"/>
        <v>2016</v>
      </c>
      <c r="K965" s="2">
        <f t="shared" si="7"/>
        <v>6</v>
      </c>
      <c r="L965" s="2" t="str">
        <f t="shared" si="8"/>
        <v>Fri</v>
      </c>
    </row>
    <row r="966" ht="15.0" customHeight="1">
      <c r="A966" s="4">
        <v>42602.0</v>
      </c>
      <c r="B966" s="2">
        <v>249981.25</v>
      </c>
      <c r="C966" s="2">
        <v>262145.18</v>
      </c>
      <c r="D966" s="2">
        <v>7220.0</v>
      </c>
      <c r="E966" s="5">
        <f t="shared" si="1"/>
        <v>34.62344183</v>
      </c>
      <c r="F966" s="7">
        <f t="shared" si="2"/>
        <v>-0.04865936945</v>
      </c>
      <c r="G966" s="5">
        <f t="shared" si="3"/>
        <v>-1.684754848</v>
      </c>
      <c r="H966" s="7">
        <f t="shared" si="4"/>
        <v>-0.04865936945</v>
      </c>
      <c r="I966" s="2" t="str">
        <f t="shared" si="5"/>
        <v>2016-08</v>
      </c>
      <c r="J966" s="2">
        <f t="shared" si="6"/>
        <v>2016</v>
      </c>
      <c r="K966" s="2">
        <f t="shared" si="7"/>
        <v>7</v>
      </c>
      <c r="L966" s="2" t="str">
        <f t="shared" si="8"/>
        <v>Sat</v>
      </c>
    </row>
    <row r="967" ht="15.0" customHeight="1">
      <c r="A967" s="4">
        <v>42603.0</v>
      </c>
      <c r="B967" s="2">
        <v>136480.25</v>
      </c>
      <c r="C967" s="2">
        <v>143734.23</v>
      </c>
      <c r="D967" s="2">
        <v>3958.0</v>
      </c>
      <c r="E967" s="5">
        <f t="shared" si="1"/>
        <v>34.48212481</v>
      </c>
      <c r="F967" s="7">
        <f t="shared" si="2"/>
        <v>-0.05315040088</v>
      </c>
      <c r="G967" s="5">
        <f t="shared" si="3"/>
        <v>-1.832738757</v>
      </c>
      <c r="H967" s="7">
        <f t="shared" si="4"/>
        <v>-0.05315040088</v>
      </c>
      <c r="I967" s="2" t="str">
        <f t="shared" si="5"/>
        <v>2016-08</v>
      </c>
      <c r="J967" s="2">
        <f t="shared" si="6"/>
        <v>2016</v>
      </c>
      <c r="K967" s="2">
        <f t="shared" si="7"/>
        <v>1</v>
      </c>
      <c r="L967" s="2" t="str">
        <f t="shared" si="8"/>
        <v>Sun</v>
      </c>
    </row>
    <row r="968" ht="15.0" customHeight="1">
      <c r="A968" s="4">
        <v>42604.0</v>
      </c>
      <c r="B968" s="2">
        <v>127369.8</v>
      </c>
      <c r="C968" s="2">
        <v>133350.16</v>
      </c>
      <c r="D968" s="2">
        <v>3672.0</v>
      </c>
      <c r="E968" s="5">
        <f t="shared" si="1"/>
        <v>34.68676471</v>
      </c>
      <c r="F968" s="7">
        <f t="shared" si="2"/>
        <v>-0.04695273134</v>
      </c>
      <c r="G968" s="5">
        <f t="shared" si="3"/>
        <v>-1.628638344</v>
      </c>
      <c r="H968" s="7">
        <f t="shared" si="4"/>
        <v>-0.04695273134</v>
      </c>
      <c r="I968" s="2" t="str">
        <f t="shared" si="5"/>
        <v>2016-08</v>
      </c>
      <c r="J968" s="2">
        <f t="shared" si="6"/>
        <v>2016</v>
      </c>
      <c r="K968" s="2">
        <f t="shared" si="7"/>
        <v>2</v>
      </c>
      <c r="L968" s="2" t="str">
        <f t="shared" si="8"/>
        <v>Mon</v>
      </c>
    </row>
    <row r="969" ht="15.0" customHeight="1">
      <c r="A969" s="4">
        <v>42605.0</v>
      </c>
      <c r="B969" s="2">
        <v>43537.73</v>
      </c>
      <c r="C969" s="2">
        <v>37649.39</v>
      </c>
      <c r="D969" s="2">
        <v>1035.0</v>
      </c>
      <c r="E969" s="5">
        <f t="shared" si="1"/>
        <v>42.06543961</v>
      </c>
      <c r="F969" s="7">
        <f t="shared" si="2"/>
        <v>0.1352468307</v>
      </c>
      <c r="G969" s="5">
        <f t="shared" si="3"/>
        <v>5.689217391</v>
      </c>
      <c r="H969" s="7">
        <f t="shared" si="4"/>
        <v>0.1352468307</v>
      </c>
      <c r="I969" s="2" t="str">
        <f t="shared" si="5"/>
        <v>2016-08</v>
      </c>
      <c r="J969" s="2">
        <f t="shared" si="6"/>
        <v>2016</v>
      </c>
      <c r="K969" s="2">
        <f t="shared" si="7"/>
        <v>3</v>
      </c>
      <c r="L969" s="2" t="str">
        <f t="shared" si="8"/>
        <v>Tue</v>
      </c>
    </row>
    <row r="970" ht="15.0" customHeight="1">
      <c r="A970" s="4">
        <v>42606.0</v>
      </c>
      <c r="B970" s="2">
        <v>120407.41</v>
      </c>
      <c r="C970" s="2">
        <v>127699.42</v>
      </c>
      <c r="D970" s="2">
        <v>3549.0</v>
      </c>
      <c r="E970" s="5">
        <f t="shared" si="1"/>
        <v>33.92713722</v>
      </c>
      <c r="F970" s="7">
        <f t="shared" si="2"/>
        <v>-0.06056113988</v>
      </c>
      <c r="G970" s="5">
        <f t="shared" si="3"/>
        <v>-2.054666103</v>
      </c>
      <c r="H970" s="7">
        <f t="shared" si="4"/>
        <v>-0.06056113988</v>
      </c>
      <c r="I970" s="2" t="str">
        <f t="shared" si="5"/>
        <v>2016-08</v>
      </c>
      <c r="J970" s="2">
        <f t="shared" si="6"/>
        <v>2016</v>
      </c>
      <c r="K970" s="2">
        <f t="shared" si="7"/>
        <v>4</v>
      </c>
      <c r="L970" s="2" t="str">
        <f t="shared" si="8"/>
        <v>Wed</v>
      </c>
    </row>
    <row r="971" ht="15.0" customHeight="1">
      <c r="A971" s="4">
        <v>42607.0</v>
      </c>
      <c r="B971" s="2">
        <v>226375.54</v>
      </c>
      <c r="C971" s="2">
        <v>240429.69</v>
      </c>
      <c r="D971" s="2">
        <v>6647.0</v>
      </c>
      <c r="E971" s="5">
        <f t="shared" si="1"/>
        <v>34.05679856</v>
      </c>
      <c r="F971" s="7">
        <f t="shared" si="2"/>
        <v>-0.06208334169</v>
      </c>
      <c r="G971" s="5">
        <f t="shared" si="3"/>
        <v>-2.114359862</v>
      </c>
      <c r="H971" s="7">
        <f t="shared" si="4"/>
        <v>-0.06208334169</v>
      </c>
      <c r="I971" s="2" t="str">
        <f t="shared" si="5"/>
        <v>2016-08</v>
      </c>
      <c r="J971" s="2">
        <f t="shared" si="6"/>
        <v>2016</v>
      </c>
      <c r="K971" s="2">
        <f t="shared" si="7"/>
        <v>5</v>
      </c>
      <c r="L971" s="2" t="str">
        <f t="shared" si="8"/>
        <v>Thu</v>
      </c>
    </row>
    <row r="972" ht="15.0" customHeight="1">
      <c r="A972" s="4">
        <v>42608.0</v>
      </c>
      <c r="B972" s="2">
        <v>337900.18</v>
      </c>
      <c r="C972" s="2">
        <v>358772.25</v>
      </c>
      <c r="D972" s="2">
        <v>9908.0</v>
      </c>
      <c r="E972" s="5">
        <f t="shared" si="1"/>
        <v>34.10377271</v>
      </c>
      <c r="F972" s="7">
        <f t="shared" si="2"/>
        <v>-0.06176992862</v>
      </c>
      <c r="G972" s="5">
        <f t="shared" si="3"/>
        <v>-2.106587606</v>
      </c>
      <c r="H972" s="7">
        <f t="shared" si="4"/>
        <v>-0.06176992862</v>
      </c>
      <c r="I972" s="2" t="str">
        <f t="shared" si="5"/>
        <v>2016-08</v>
      </c>
      <c r="J972" s="2">
        <f t="shared" si="6"/>
        <v>2016</v>
      </c>
      <c r="K972" s="2">
        <f t="shared" si="7"/>
        <v>6</v>
      </c>
      <c r="L972" s="2" t="str">
        <f t="shared" si="8"/>
        <v>Fri</v>
      </c>
    </row>
    <row r="973" ht="15.0" customHeight="1">
      <c r="A973" s="4">
        <v>42609.0</v>
      </c>
      <c r="B973" s="2">
        <v>355069.54</v>
      </c>
      <c r="C973" s="2">
        <v>376755.56</v>
      </c>
      <c r="D973" s="2">
        <v>10393.0</v>
      </c>
      <c r="E973" s="5">
        <f t="shared" si="1"/>
        <v>34.16429712</v>
      </c>
      <c r="F973" s="7">
        <f t="shared" si="2"/>
        <v>-0.06107541638</v>
      </c>
      <c r="G973" s="5">
        <f t="shared" si="3"/>
        <v>-2.086598672</v>
      </c>
      <c r="H973" s="7">
        <f t="shared" si="4"/>
        <v>-0.06107541638</v>
      </c>
      <c r="I973" s="2" t="str">
        <f t="shared" si="5"/>
        <v>2016-08</v>
      </c>
      <c r="J973" s="2">
        <f t="shared" si="6"/>
        <v>2016</v>
      </c>
      <c r="K973" s="2">
        <f t="shared" si="7"/>
        <v>7</v>
      </c>
      <c r="L973" s="2" t="str">
        <f t="shared" si="8"/>
        <v>Sat</v>
      </c>
    </row>
    <row r="974" ht="15.0" customHeight="1">
      <c r="A974" s="4">
        <v>42610.0</v>
      </c>
      <c r="B974" s="2">
        <v>153893.69</v>
      </c>
      <c r="C974" s="2">
        <v>163401.33</v>
      </c>
      <c r="D974" s="2">
        <v>4507.0</v>
      </c>
      <c r="E974" s="5">
        <f t="shared" si="1"/>
        <v>34.14548258</v>
      </c>
      <c r="F974" s="7">
        <f t="shared" si="2"/>
        <v>-0.06178057073</v>
      </c>
      <c r="G974" s="5">
        <f t="shared" si="3"/>
        <v>-2.109527402</v>
      </c>
      <c r="H974" s="7">
        <f t="shared" si="4"/>
        <v>-0.06178057073</v>
      </c>
      <c r="I974" s="2" t="str">
        <f t="shared" si="5"/>
        <v>2016-08</v>
      </c>
      <c r="J974" s="2">
        <f t="shared" si="6"/>
        <v>2016</v>
      </c>
      <c r="K974" s="2">
        <f t="shared" si="7"/>
        <v>1</v>
      </c>
      <c r="L974" s="2" t="str">
        <f t="shared" si="8"/>
        <v>Sun</v>
      </c>
    </row>
    <row r="975" ht="15.0" customHeight="1">
      <c r="A975" s="4">
        <v>42611.0</v>
      </c>
      <c r="B975" s="2">
        <v>159625.74</v>
      </c>
      <c r="C975" s="2">
        <v>169479.11</v>
      </c>
      <c r="D975" s="2">
        <v>4672.0</v>
      </c>
      <c r="E975" s="5">
        <f t="shared" si="1"/>
        <v>34.16646832</v>
      </c>
      <c r="F975" s="7">
        <f t="shared" si="2"/>
        <v>-0.0617279519</v>
      </c>
      <c r="G975" s="5">
        <f t="shared" si="3"/>
        <v>-2.109026113</v>
      </c>
      <c r="H975" s="7">
        <f t="shared" si="4"/>
        <v>-0.0617279519</v>
      </c>
      <c r="I975" s="2" t="str">
        <f t="shared" si="5"/>
        <v>2016-08</v>
      </c>
      <c r="J975" s="2">
        <f t="shared" si="6"/>
        <v>2016</v>
      </c>
      <c r="K975" s="2">
        <f t="shared" si="7"/>
        <v>2</v>
      </c>
      <c r="L975" s="2" t="str">
        <f t="shared" si="8"/>
        <v>Mon</v>
      </c>
    </row>
    <row r="976" ht="15.0" customHeight="1">
      <c r="A976" s="4">
        <v>42612.0</v>
      </c>
      <c r="B976" s="2">
        <v>133961.97</v>
      </c>
      <c r="C976" s="2">
        <v>142299.92</v>
      </c>
      <c r="D976" s="2">
        <v>3924.0</v>
      </c>
      <c r="E976" s="5">
        <f t="shared" si="1"/>
        <v>34.13913609</v>
      </c>
      <c r="F976" s="7">
        <f t="shared" si="2"/>
        <v>-0.06224117188</v>
      </c>
      <c r="G976" s="5">
        <f t="shared" si="3"/>
        <v>-2.124859837</v>
      </c>
      <c r="H976" s="7">
        <f t="shared" si="4"/>
        <v>-0.06224117188</v>
      </c>
      <c r="I976" s="2" t="str">
        <f t="shared" si="5"/>
        <v>2016-08</v>
      </c>
      <c r="J976" s="2">
        <f t="shared" si="6"/>
        <v>2016</v>
      </c>
      <c r="K976" s="2">
        <f t="shared" si="7"/>
        <v>3</v>
      </c>
      <c r="L976" s="2" t="str">
        <f t="shared" si="8"/>
        <v>Tue</v>
      </c>
    </row>
    <row r="977" ht="15.0" customHeight="1">
      <c r="A977" s="4">
        <v>42613.0</v>
      </c>
      <c r="B977" s="2">
        <v>236305.16</v>
      </c>
      <c r="C977" s="2">
        <v>250572.45</v>
      </c>
      <c r="D977" s="2">
        <v>6918.0</v>
      </c>
      <c r="E977" s="5">
        <f t="shared" si="1"/>
        <v>34.15801677</v>
      </c>
      <c r="F977" s="7">
        <f t="shared" si="2"/>
        <v>-0.0603765487</v>
      </c>
      <c r="G977" s="5">
        <f t="shared" si="3"/>
        <v>-2.062343163</v>
      </c>
      <c r="H977" s="7">
        <f t="shared" si="4"/>
        <v>-0.0603765487</v>
      </c>
      <c r="I977" s="2" t="str">
        <f t="shared" si="5"/>
        <v>2016-08</v>
      </c>
      <c r="J977" s="2">
        <f t="shared" si="6"/>
        <v>2016</v>
      </c>
      <c r="K977" s="2">
        <f t="shared" si="7"/>
        <v>4</v>
      </c>
      <c r="L977" s="2" t="str">
        <f t="shared" si="8"/>
        <v>Wed</v>
      </c>
    </row>
    <row r="978" ht="15.0" customHeight="1">
      <c r="A978" s="4">
        <v>42614.0</v>
      </c>
      <c r="B978" s="2">
        <v>313491.74</v>
      </c>
      <c r="C978" s="2">
        <v>333030.88</v>
      </c>
      <c r="D978" s="2">
        <v>9183.0</v>
      </c>
      <c r="E978" s="5">
        <f t="shared" si="1"/>
        <v>34.13827072</v>
      </c>
      <c r="F978" s="7">
        <f t="shared" si="2"/>
        <v>-0.06232744761</v>
      </c>
      <c r="G978" s="5">
        <f t="shared" si="3"/>
        <v>-2.12775128</v>
      </c>
      <c r="H978" s="7">
        <f t="shared" si="4"/>
        <v>-0.06232744761</v>
      </c>
      <c r="I978" s="2" t="str">
        <f t="shared" si="5"/>
        <v>2016-09</v>
      </c>
      <c r="J978" s="2">
        <f t="shared" si="6"/>
        <v>2016</v>
      </c>
      <c r="K978" s="2">
        <f t="shared" si="7"/>
        <v>5</v>
      </c>
      <c r="L978" s="2" t="str">
        <f t="shared" si="8"/>
        <v>Thu</v>
      </c>
    </row>
    <row r="979" ht="15.0" customHeight="1">
      <c r="A979" s="4">
        <v>42615.0</v>
      </c>
      <c r="B979" s="2">
        <v>370355.0</v>
      </c>
      <c r="C979" s="2">
        <v>392493.08</v>
      </c>
      <c r="D979" s="2">
        <v>10830.0</v>
      </c>
      <c r="E979" s="5">
        <f t="shared" si="1"/>
        <v>34.19713758</v>
      </c>
      <c r="F979" s="7">
        <f t="shared" si="2"/>
        <v>-0.05977529667</v>
      </c>
      <c r="G979" s="5">
        <f t="shared" si="3"/>
        <v>-2.044144044</v>
      </c>
      <c r="H979" s="7">
        <f t="shared" si="4"/>
        <v>-0.05977529667</v>
      </c>
      <c r="I979" s="2" t="str">
        <f t="shared" si="5"/>
        <v>2016-09</v>
      </c>
      <c r="J979" s="2">
        <f t="shared" si="6"/>
        <v>2016</v>
      </c>
      <c r="K979" s="2">
        <f t="shared" si="7"/>
        <v>6</v>
      </c>
      <c r="L979" s="2" t="str">
        <f t="shared" si="8"/>
        <v>Fri</v>
      </c>
    </row>
    <row r="980" ht="15.0" customHeight="1">
      <c r="A980" s="4">
        <v>42616.0</v>
      </c>
      <c r="B980" s="2">
        <v>369091.06</v>
      </c>
      <c r="C980" s="2">
        <v>391842.5</v>
      </c>
      <c r="D980" s="2">
        <v>10800.0</v>
      </c>
      <c r="E980" s="5">
        <f t="shared" si="1"/>
        <v>34.17509815</v>
      </c>
      <c r="F980" s="7">
        <f t="shared" si="2"/>
        <v>-0.06164180731</v>
      </c>
      <c r="G980" s="5">
        <f t="shared" si="3"/>
        <v>-2.106614815</v>
      </c>
      <c r="H980" s="7">
        <f t="shared" si="4"/>
        <v>-0.06164180731</v>
      </c>
      <c r="I980" s="2" t="str">
        <f t="shared" si="5"/>
        <v>2016-09</v>
      </c>
      <c r="J980" s="2">
        <f t="shared" si="6"/>
        <v>2016</v>
      </c>
      <c r="K980" s="2">
        <f t="shared" si="7"/>
        <v>7</v>
      </c>
      <c r="L980" s="2" t="str">
        <f t="shared" si="8"/>
        <v>Sat</v>
      </c>
    </row>
    <row r="981" ht="15.0" customHeight="1">
      <c r="A981" s="4">
        <v>42617.0</v>
      </c>
      <c r="B981" s="2">
        <v>209026.02</v>
      </c>
      <c r="C981" s="2">
        <v>222163.73</v>
      </c>
      <c r="D981" s="2">
        <v>6119.0</v>
      </c>
      <c r="E981" s="5">
        <f t="shared" si="1"/>
        <v>34.16016016</v>
      </c>
      <c r="F981" s="7">
        <f t="shared" si="2"/>
        <v>-0.06285203153</v>
      </c>
      <c r="G981" s="5">
        <f t="shared" si="3"/>
        <v>-2.147035463</v>
      </c>
      <c r="H981" s="7">
        <f t="shared" si="4"/>
        <v>-0.06285203153</v>
      </c>
      <c r="I981" s="2" t="str">
        <f t="shared" si="5"/>
        <v>2016-09</v>
      </c>
      <c r="J981" s="2">
        <f t="shared" si="6"/>
        <v>2016</v>
      </c>
      <c r="K981" s="2">
        <f t="shared" si="7"/>
        <v>1</v>
      </c>
      <c r="L981" s="2" t="str">
        <f t="shared" si="8"/>
        <v>Sun</v>
      </c>
    </row>
    <row r="982" ht="15.0" customHeight="1">
      <c r="A982" s="4">
        <v>42618.0</v>
      </c>
      <c r="B982" s="2">
        <v>228177.32</v>
      </c>
      <c r="C982" s="2">
        <v>242589.59</v>
      </c>
      <c r="D982" s="2">
        <v>6685.0</v>
      </c>
      <c r="E982" s="5">
        <f t="shared" si="1"/>
        <v>34.13273298</v>
      </c>
      <c r="F982" s="7">
        <f t="shared" si="2"/>
        <v>-0.06316258776</v>
      </c>
      <c r="G982" s="5">
        <f t="shared" si="3"/>
        <v>-2.155911743</v>
      </c>
      <c r="H982" s="7">
        <f t="shared" si="4"/>
        <v>-0.06316258776</v>
      </c>
      <c r="I982" s="2" t="str">
        <f t="shared" si="5"/>
        <v>2016-09</v>
      </c>
      <c r="J982" s="2">
        <f t="shared" si="6"/>
        <v>2016</v>
      </c>
      <c r="K982" s="2">
        <f t="shared" si="7"/>
        <v>2</v>
      </c>
      <c r="L982" s="2" t="str">
        <f t="shared" si="8"/>
        <v>Mon</v>
      </c>
    </row>
    <row r="983" ht="15.0" customHeight="1">
      <c r="A983" s="4">
        <v>42619.0</v>
      </c>
      <c r="B983" s="2">
        <v>154494.78</v>
      </c>
      <c r="C983" s="2">
        <v>164108.83</v>
      </c>
      <c r="D983" s="2">
        <v>4519.0</v>
      </c>
      <c r="E983" s="5">
        <f t="shared" si="1"/>
        <v>34.18782474</v>
      </c>
      <c r="F983" s="7">
        <f t="shared" si="2"/>
        <v>-0.06222896333</v>
      </c>
      <c r="G983" s="5">
        <f t="shared" si="3"/>
        <v>-2.127472892</v>
      </c>
      <c r="H983" s="7">
        <f t="shared" si="4"/>
        <v>-0.06222896333</v>
      </c>
      <c r="I983" s="2" t="str">
        <f t="shared" si="5"/>
        <v>2016-09</v>
      </c>
      <c r="J983" s="2">
        <f t="shared" si="6"/>
        <v>2016</v>
      </c>
      <c r="K983" s="2">
        <f t="shared" si="7"/>
        <v>3</v>
      </c>
      <c r="L983" s="2" t="str">
        <f t="shared" si="8"/>
        <v>Tue</v>
      </c>
    </row>
    <row r="984" ht="15.0" customHeight="1">
      <c r="A984" s="4">
        <v>42620.0</v>
      </c>
      <c r="B984" s="2">
        <v>50736.47</v>
      </c>
      <c r="C984" s="2">
        <v>43830.2</v>
      </c>
      <c r="D984" s="2">
        <v>1206.0</v>
      </c>
      <c r="E984" s="5">
        <f t="shared" si="1"/>
        <v>42.07004146</v>
      </c>
      <c r="F984" s="7">
        <f t="shared" si="2"/>
        <v>0.1361204278</v>
      </c>
      <c r="G984" s="5">
        <f t="shared" si="3"/>
        <v>5.72659204</v>
      </c>
      <c r="H984" s="7">
        <f t="shared" si="4"/>
        <v>0.1361204278</v>
      </c>
      <c r="I984" s="2" t="str">
        <f t="shared" si="5"/>
        <v>2016-09</v>
      </c>
      <c r="J984" s="2">
        <f t="shared" si="6"/>
        <v>2016</v>
      </c>
      <c r="K984" s="2">
        <f t="shared" si="7"/>
        <v>4</v>
      </c>
      <c r="L984" s="2" t="str">
        <f t="shared" si="8"/>
        <v>Wed</v>
      </c>
    </row>
    <row r="985" ht="15.0" customHeight="1">
      <c r="A985" s="4">
        <v>42621.0</v>
      </c>
      <c r="B985" s="2">
        <v>43292.15</v>
      </c>
      <c r="C985" s="2">
        <v>37391.68</v>
      </c>
      <c r="D985" s="2">
        <v>1029.0</v>
      </c>
      <c r="E985" s="5">
        <f t="shared" si="1"/>
        <v>42.07206025</v>
      </c>
      <c r="F985" s="7">
        <f t="shared" si="2"/>
        <v>0.1362942242</v>
      </c>
      <c r="G985" s="5">
        <f t="shared" si="3"/>
        <v>5.734178814</v>
      </c>
      <c r="H985" s="7">
        <f t="shared" si="4"/>
        <v>0.1362942242</v>
      </c>
      <c r="I985" s="2" t="str">
        <f t="shared" si="5"/>
        <v>2016-09</v>
      </c>
      <c r="J985" s="2">
        <f t="shared" si="6"/>
        <v>2016</v>
      </c>
      <c r="K985" s="2">
        <f t="shared" si="7"/>
        <v>5</v>
      </c>
      <c r="L985" s="2" t="str">
        <f t="shared" si="8"/>
        <v>Thu</v>
      </c>
    </row>
    <row r="986" ht="15.0" customHeight="1">
      <c r="A986" s="4">
        <v>42622.0</v>
      </c>
      <c r="B986" s="2">
        <v>77335.92</v>
      </c>
      <c r="C986" s="2">
        <v>69612.13</v>
      </c>
      <c r="D986" s="2">
        <v>1917.0</v>
      </c>
      <c r="E986" s="5">
        <f t="shared" si="1"/>
        <v>40.34215962</v>
      </c>
      <c r="F986" s="7">
        <f t="shared" si="2"/>
        <v>0.09987325424</v>
      </c>
      <c r="G986" s="5">
        <f t="shared" si="3"/>
        <v>4.029102765</v>
      </c>
      <c r="H986" s="7">
        <f t="shared" si="4"/>
        <v>0.09987325424</v>
      </c>
      <c r="I986" s="2" t="str">
        <f t="shared" si="5"/>
        <v>2016-09</v>
      </c>
      <c r="J986" s="2">
        <f t="shared" si="6"/>
        <v>2016</v>
      </c>
      <c r="K986" s="2">
        <f t="shared" si="7"/>
        <v>6</v>
      </c>
      <c r="L986" s="2" t="str">
        <f t="shared" si="8"/>
        <v>Fri</v>
      </c>
    </row>
    <row r="987" ht="15.0" customHeight="1">
      <c r="A987" s="4">
        <v>42623.0</v>
      </c>
      <c r="B987" s="2">
        <v>85070.23</v>
      </c>
      <c r="C987" s="2">
        <v>76591.85</v>
      </c>
      <c r="D987" s="2">
        <v>2108.0</v>
      </c>
      <c r="E987" s="5">
        <f t="shared" si="1"/>
        <v>40.35589658</v>
      </c>
      <c r="F987" s="7">
        <f t="shared" si="2"/>
        <v>0.09966330172</v>
      </c>
      <c r="G987" s="5">
        <f t="shared" si="3"/>
        <v>4.022001898</v>
      </c>
      <c r="H987" s="7">
        <f t="shared" si="4"/>
        <v>0.09966330172</v>
      </c>
      <c r="I987" s="2" t="str">
        <f t="shared" si="5"/>
        <v>2016-09</v>
      </c>
      <c r="J987" s="2">
        <f t="shared" si="6"/>
        <v>2016</v>
      </c>
      <c r="K987" s="2">
        <f t="shared" si="7"/>
        <v>7</v>
      </c>
      <c r="L987" s="2" t="str">
        <f t="shared" si="8"/>
        <v>Sat</v>
      </c>
    </row>
    <row r="988" ht="15.0" customHeight="1">
      <c r="A988" s="4">
        <v>42624.0</v>
      </c>
      <c r="B988" s="2">
        <v>48831.67</v>
      </c>
      <c r="C988" s="2">
        <v>44014.23</v>
      </c>
      <c r="D988" s="2">
        <v>1211.0</v>
      </c>
      <c r="E988" s="5">
        <f t="shared" si="1"/>
        <v>40.32342692</v>
      </c>
      <c r="F988" s="7">
        <f t="shared" si="2"/>
        <v>0.09865400876</v>
      </c>
      <c r="G988" s="5">
        <f t="shared" si="3"/>
        <v>3.978067713</v>
      </c>
      <c r="H988" s="7">
        <f t="shared" si="4"/>
        <v>0.09865400876</v>
      </c>
      <c r="I988" s="2" t="str">
        <f t="shared" si="5"/>
        <v>2016-09</v>
      </c>
      <c r="J988" s="2">
        <f t="shared" si="6"/>
        <v>2016</v>
      </c>
      <c r="K988" s="2">
        <f t="shared" si="7"/>
        <v>1</v>
      </c>
      <c r="L988" s="2" t="str">
        <f t="shared" si="8"/>
        <v>Sun</v>
      </c>
    </row>
    <row r="989" ht="15.0" customHeight="1">
      <c r="A989" s="4">
        <v>42625.0</v>
      </c>
      <c r="B989" s="2">
        <v>52075.16</v>
      </c>
      <c r="C989" s="2">
        <v>46884.14</v>
      </c>
      <c r="D989" s="2">
        <v>1291.0</v>
      </c>
      <c r="E989" s="5">
        <f t="shared" si="1"/>
        <v>40.33707204</v>
      </c>
      <c r="F989" s="7">
        <f t="shared" si="2"/>
        <v>0.09968322709</v>
      </c>
      <c r="G989" s="5">
        <f t="shared" si="3"/>
        <v>4.020929512</v>
      </c>
      <c r="H989" s="7">
        <f t="shared" si="4"/>
        <v>0.09968322709</v>
      </c>
      <c r="I989" s="2" t="str">
        <f t="shared" si="5"/>
        <v>2016-09</v>
      </c>
      <c r="J989" s="2">
        <f t="shared" si="6"/>
        <v>2016</v>
      </c>
      <c r="K989" s="2">
        <f t="shared" si="7"/>
        <v>2</v>
      </c>
      <c r="L989" s="2" t="str">
        <f t="shared" si="8"/>
        <v>Mon</v>
      </c>
    </row>
    <row r="990" ht="15.0" customHeight="1">
      <c r="A990" s="4">
        <v>42626.0</v>
      </c>
      <c r="B990" s="2">
        <v>30424.73</v>
      </c>
      <c r="C990" s="2">
        <v>27398.59</v>
      </c>
      <c r="D990" s="2">
        <v>755.0</v>
      </c>
      <c r="E990" s="5">
        <f t="shared" si="1"/>
        <v>40.29765563</v>
      </c>
      <c r="F990" s="7">
        <f t="shared" si="2"/>
        <v>0.09946316697</v>
      </c>
      <c r="G990" s="5">
        <f t="shared" si="3"/>
        <v>4.00813245</v>
      </c>
      <c r="H990" s="7">
        <f t="shared" si="4"/>
        <v>0.09946316697</v>
      </c>
      <c r="I990" s="2" t="str">
        <f t="shared" si="5"/>
        <v>2016-09</v>
      </c>
      <c r="J990" s="2">
        <f t="shared" si="6"/>
        <v>2016</v>
      </c>
      <c r="K990" s="2">
        <f t="shared" si="7"/>
        <v>3</v>
      </c>
      <c r="L990" s="2" t="str">
        <f t="shared" si="8"/>
        <v>Tue</v>
      </c>
    </row>
    <row r="991" ht="15.0" customHeight="1">
      <c r="A991" s="4">
        <v>42627.0</v>
      </c>
      <c r="B991" s="2">
        <v>20495.11</v>
      </c>
      <c r="C991" s="2">
        <v>18375.05</v>
      </c>
      <c r="D991" s="2">
        <v>508.0</v>
      </c>
      <c r="E991" s="5">
        <f t="shared" si="1"/>
        <v>40.34470472</v>
      </c>
      <c r="F991" s="7">
        <f t="shared" si="2"/>
        <v>0.1034422357</v>
      </c>
      <c r="G991" s="5">
        <f t="shared" si="3"/>
        <v>4.173346457</v>
      </c>
      <c r="H991" s="7">
        <f t="shared" si="4"/>
        <v>0.1034422357</v>
      </c>
      <c r="I991" s="2" t="str">
        <f t="shared" si="5"/>
        <v>2016-09</v>
      </c>
      <c r="J991" s="2">
        <f t="shared" si="6"/>
        <v>2016</v>
      </c>
      <c r="K991" s="2">
        <f t="shared" si="7"/>
        <v>4</v>
      </c>
      <c r="L991" s="2" t="str">
        <f t="shared" si="8"/>
        <v>Wed</v>
      </c>
    </row>
    <row r="992" ht="15.0" customHeight="1">
      <c r="A992" s="4">
        <v>42628.0</v>
      </c>
      <c r="B992" s="2">
        <v>40742.17</v>
      </c>
      <c r="C992" s="2">
        <v>36464.76</v>
      </c>
      <c r="D992" s="2">
        <v>1010.0</v>
      </c>
      <c r="E992" s="5">
        <f t="shared" si="1"/>
        <v>40.33878218</v>
      </c>
      <c r="F992" s="7">
        <f t="shared" si="2"/>
        <v>0.1049872896</v>
      </c>
      <c r="G992" s="5">
        <f t="shared" si="3"/>
        <v>4.235059406</v>
      </c>
      <c r="H992" s="7">
        <f t="shared" si="4"/>
        <v>0.1049872896</v>
      </c>
      <c r="I992" s="2" t="str">
        <f t="shared" si="5"/>
        <v>2016-09</v>
      </c>
      <c r="J992" s="2">
        <f t="shared" si="6"/>
        <v>2016</v>
      </c>
      <c r="K992" s="2">
        <f t="shared" si="7"/>
        <v>5</v>
      </c>
      <c r="L992" s="2" t="str">
        <f t="shared" si="8"/>
        <v>Thu</v>
      </c>
    </row>
    <row r="993" ht="15.0" customHeight="1">
      <c r="A993" s="4">
        <v>42629.0</v>
      </c>
      <c r="B993" s="2">
        <v>69864.84</v>
      </c>
      <c r="C993" s="2">
        <v>62545.19</v>
      </c>
      <c r="D993" s="2">
        <v>1733.0</v>
      </c>
      <c r="E993" s="5">
        <f t="shared" si="1"/>
        <v>40.31439123</v>
      </c>
      <c r="F993" s="7">
        <f t="shared" si="2"/>
        <v>0.104768722</v>
      </c>
      <c r="G993" s="5">
        <f t="shared" si="3"/>
        <v>4.223687248</v>
      </c>
      <c r="H993" s="7">
        <f t="shared" si="4"/>
        <v>0.104768722</v>
      </c>
      <c r="I993" s="2" t="str">
        <f t="shared" si="5"/>
        <v>2016-09</v>
      </c>
      <c r="J993" s="2">
        <f t="shared" si="6"/>
        <v>2016</v>
      </c>
      <c r="K993" s="2">
        <f t="shared" si="7"/>
        <v>6</v>
      </c>
      <c r="L993" s="2" t="str">
        <f t="shared" si="8"/>
        <v>Fri</v>
      </c>
    </row>
    <row r="994" ht="15.0" customHeight="1">
      <c r="A994" s="4">
        <v>42630.0</v>
      </c>
      <c r="B994" s="2">
        <v>100120.71</v>
      </c>
      <c r="C994" s="2">
        <v>89572.41</v>
      </c>
      <c r="D994" s="2">
        <v>2482.0</v>
      </c>
      <c r="E994" s="5">
        <f t="shared" si="1"/>
        <v>40.3387228</v>
      </c>
      <c r="F994" s="7">
        <f t="shared" si="2"/>
        <v>0.105355825</v>
      </c>
      <c r="G994" s="5">
        <f t="shared" si="3"/>
        <v>4.24991942</v>
      </c>
      <c r="H994" s="7">
        <f t="shared" si="4"/>
        <v>0.105355825</v>
      </c>
      <c r="I994" s="2" t="str">
        <f t="shared" si="5"/>
        <v>2016-09</v>
      </c>
      <c r="J994" s="2">
        <f t="shared" si="6"/>
        <v>2016</v>
      </c>
      <c r="K994" s="2">
        <f t="shared" si="7"/>
        <v>7</v>
      </c>
      <c r="L994" s="2" t="str">
        <f t="shared" si="8"/>
        <v>Sat</v>
      </c>
    </row>
    <row r="995" ht="15.0" customHeight="1">
      <c r="A995" s="4">
        <v>42631.0</v>
      </c>
      <c r="B995" s="2">
        <v>49825.1</v>
      </c>
      <c r="C995" s="2">
        <v>44593.8</v>
      </c>
      <c r="D995" s="2">
        <v>1235.0</v>
      </c>
      <c r="E995" s="5">
        <f t="shared" si="1"/>
        <v>40.34421053</v>
      </c>
      <c r="F995" s="7">
        <f t="shared" si="2"/>
        <v>0.1049932664</v>
      </c>
      <c r="G995" s="5">
        <f t="shared" si="3"/>
        <v>4.235870445</v>
      </c>
      <c r="H995" s="7">
        <f t="shared" si="4"/>
        <v>0.1049932664</v>
      </c>
      <c r="I995" s="2" t="str">
        <f t="shared" si="5"/>
        <v>2016-09</v>
      </c>
      <c r="J995" s="2">
        <f t="shared" si="6"/>
        <v>2016</v>
      </c>
      <c r="K995" s="2">
        <f t="shared" si="7"/>
        <v>1</v>
      </c>
      <c r="L995" s="2" t="str">
        <f t="shared" si="8"/>
        <v>Sun</v>
      </c>
    </row>
    <row r="996" ht="15.0" customHeight="1">
      <c r="A996" s="4">
        <v>42632.0</v>
      </c>
      <c r="B996" s="2">
        <v>46566.46</v>
      </c>
      <c r="C996" s="2">
        <v>41660.44</v>
      </c>
      <c r="D996" s="2">
        <v>1155.0</v>
      </c>
      <c r="E996" s="5">
        <f t="shared" si="1"/>
        <v>40.31728139</v>
      </c>
      <c r="F996" s="7">
        <f t="shared" si="2"/>
        <v>0.1053552278</v>
      </c>
      <c r="G996" s="5">
        <f t="shared" si="3"/>
        <v>4.247636364</v>
      </c>
      <c r="H996" s="7">
        <f t="shared" si="4"/>
        <v>0.1053552278</v>
      </c>
      <c r="I996" s="2" t="str">
        <f t="shared" si="5"/>
        <v>2016-09</v>
      </c>
      <c r="J996" s="2">
        <f t="shared" si="6"/>
        <v>2016</v>
      </c>
      <c r="K996" s="2">
        <f t="shared" si="7"/>
        <v>2</v>
      </c>
      <c r="L996" s="2" t="str">
        <f t="shared" si="8"/>
        <v>Mon</v>
      </c>
    </row>
    <row r="997" ht="15.0" customHeight="1">
      <c r="A997" s="4">
        <v>42633.0</v>
      </c>
      <c r="B997" s="2">
        <v>37923.77</v>
      </c>
      <c r="C997" s="2">
        <v>34031.15</v>
      </c>
      <c r="D997" s="2">
        <v>940.0</v>
      </c>
      <c r="E997" s="5">
        <f t="shared" si="1"/>
        <v>40.34443617</v>
      </c>
      <c r="F997" s="7">
        <f t="shared" si="2"/>
        <v>0.1026432762</v>
      </c>
      <c r="G997" s="5">
        <f t="shared" si="3"/>
        <v>4.141085106</v>
      </c>
      <c r="H997" s="7">
        <f t="shared" si="4"/>
        <v>0.1026432762</v>
      </c>
      <c r="I997" s="2" t="str">
        <f t="shared" si="5"/>
        <v>2016-09</v>
      </c>
      <c r="J997" s="2">
        <f t="shared" si="6"/>
        <v>2016</v>
      </c>
      <c r="K997" s="2">
        <f t="shared" si="7"/>
        <v>3</v>
      </c>
      <c r="L997" s="2" t="str">
        <f t="shared" si="8"/>
        <v>Tue</v>
      </c>
    </row>
    <row r="998" ht="15.0" customHeight="1">
      <c r="A998" s="4">
        <v>42634.0</v>
      </c>
      <c r="B998" s="2">
        <v>50084.81</v>
      </c>
      <c r="C998" s="2">
        <v>44832.21</v>
      </c>
      <c r="D998" s="2">
        <v>1241.0</v>
      </c>
      <c r="E998" s="5">
        <f t="shared" si="1"/>
        <v>40.35842869</v>
      </c>
      <c r="F998" s="7">
        <f t="shared" si="2"/>
        <v>0.1048741125</v>
      </c>
      <c r="G998" s="5">
        <f t="shared" si="3"/>
        <v>4.232554392</v>
      </c>
      <c r="H998" s="7">
        <f t="shared" si="4"/>
        <v>0.1048741125</v>
      </c>
      <c r="I998" s="2" t="str">
        <f t="shared" si="5"/>
        <v>2016-09</v>
      </c>
      <c r="J998" s="2">
        <f t="shared" si="6"/>
        <v>2016</v>
      </c>
      <c r="K998" s="2">
        <f t="shared" si="7"/>
        <v>4</v>
      </c>
      <c r="L998" s="2" t="str">
        <f t="shared" si="8"/>
        <v>Wed</v>
      </c>
    </row>
    <row r="999" ht="15.0" customHeight="1">
      <c r="A999" s="4">
        <v>42635.0</v>
      </c>
      <c r="B999" s="2">
        <v>41885.83</v>
      </c>
      <c r="C999" s="2">
        <v>37565.48</v>
      </c>
      <c r="D999" s="2">
        <v>1039.0</v>
      </c>
      <c r="E999" s="5">
        <f t="shared" si="1"/>
        <v>40.31359962</v>
      </c>
      <c r="F999" s="7">
        <f t="shared" si="2"/>
        <v>0.103145861</v>
      </c>
      <c r="G999" s="5">
        <f t="shared" si="3"/>
        <v>4.158180943</v>
      </c>
      <c r="H999" s="7">
        <f t="shared" si="4"/>
        <v>0.103145861</v>
      </c>
      <c r="I999" s="2" t="str">
        <f t="shared" si="5"/>
        <v>2016-09</v>
      </c>
      <c r="J999" s="2">
        <f t="shared" si="6"/>
        <v>2016</v>
      </c>
      <c r="K999" s="2">
        <f t="shared" si="7"/>
        <v>5</v>
      </c>
      <c r="L999" s="2" t="str">
        <f t="shared" si="8"/>
        <v>Thu</v>
      </c>
    </row>
    <row r="1000" ht="15.0" customHeight="1">
      <c r="A1000" s="4">
        <v>42636.0</v>
      </c>
      <c r="B1000" s="2">
        <v>147503.57</v>
      </c>
      <c r="C1000" s="2">
        <v>131964.52</v>
      </c>
      <c r="D1000" s="2">
        <v>3657.0</v>
      </c>
      <c r="E1000" s="5">
        <f t="shared" si="1"/>
        <v>40.33458299</v>
      </c>
      <c r="F1000" s="7">
        <f t="shared" si="2"/>
        <v>0.1053469418</v>
      </c>
      <c r="G1000" s="5">
        <f t="shared" si="3"/>
        <v>4.249124966</v>
      </c>
      <c r="H1000" s="7">
        <f t="shared" si="4"/>
        <v>0.1053469418</v>
      </c>
      <c r="I1000" s="2" t="str">
        <f t="shared" si="5"/>
        <v>2016-09</v>
      </c>
      <c r="J1000" s="2">
        <f t="shared" si="6"/>
        <v>2016</v>
      </c>
      <c r="K1000" s="2">
        <f t="shared" si="7"/>
        <v>6</v>
      </c>
      <c r="L1000" s="2" t="str">
        <f t="shared" si="8"/>
        <v>Fri</v>
      </c>
    </row>
    <row r="1001" ht="15.0" customHeight="1">
      <c r="A1001" s="4">
        <v>42637.0</v>
      </c>
      <c r="B1001" s="2">
        <v>151639.18</v>
      </c>
      <c r="C1001" s="2">
        <v>135498.16</v>
      </c>
      <c r="D1001" s="2">
        <v>3758.0</v>
      </c>
      <c r="E1001" s="5">
        <f t="shared" si="1"/>
        <v>40.35103246</v>
      </c>
      <c r="F1001" s="7">
        <f t="shared" si="2"/>
        <v>0.1064435985</v>
      </c>
      <c r="G1001" s="5">
        <f t="shared" si="3"/>
        <v>4.295109101</v>
      </c>
      <c r="H1001" s="7">
        <f t="shared" si="4"/>
        <v>0.1064435985</v>
      </c>
      <c r="I1001" s="2" t="str">
        <f t="shared" si="5"/>
        <v>2016-09</v>
      </c>
      <c r="J1001" s="2">
        <f t="shared" si="6"/>
        <v>2016</v>
      </c>
      <c r="K1001" s="2">
        <f t="shared" si="7"/>
        <v>7</v>
      </c>
      <c r="L1001" s="2" t="str">
        <f t="shared" si="8"/>
        <v>Sat</v>
      </c>
    </row>
    <row r="1002" ht="15.0" customHeight="1">
      <c r="A1002" s="4">
        <v>42638.0</v>
      </c>
      <c r="B1002" s="2">
        <v>72457.3</v>
      </c>
      <c r="C1002" s="2">
        <v>64758.5</v>
      </c>
      <c r="D1002" s="2">
        <v>1797.0</v>
      </c>
      <c r="E1002" s="5">
        <f t="shared" si="1"/>
        <v>40.32125765</v>
      </c>
      <c r="F1002" s="7">
        <f t="shared" si="2"/>
        <v>0.1062529241</v>
      </c>
      <c r="G1002" s="5">
        <f t="shared" si="3"/>
        <v>4.28425153</v>
      </c>
      <c r="H1002" s="7">
        <f t="shared" si="4"/>
        <v>0.1062529241</v>
      </c>
      <c r="I1002" s="2" t="str">
        <f t="shared" si="5"/>
        <v>2016-09</v>
      </c>
      <c r="J1002" s="2">
        <f t="shared" si="6"/>
        <v>2016</v>
      </c>
      <c r="K1002" s="2">
        <f t="shared" si="7"/>
        <v>1</v>
      </c>
      <c r="L1002" s="2" t="str">
        <f t="shared" si="8"/>
        <v>Sun</v>
      </c>
    </row>
    <row r="1003" ht="15.0" customHeight="1">
      <c r="A1003" s="4">
        <v>42639.0</v>
      </c>
      <c r="B1003" s="2">
        <v>67355.06</v>
      </c>
      <c r="C1003" s="2">
        <v>60179.02</v>
      </c>
      <c r="D1003" s="2">
        <v>1671.0</v>
      </c>
      <c r="E1003" s="5">
        <f t="shared" si="1"/>
        <v>40.30823459</v>
      </c>
      <c r="F1003" s="7">
        <f t="shared" si="2"/>
        <v>0.1065404737</v>
      </c>
      <c r="G1003" s="5">
        <f t="shared" si="3"/>
        <v>4.294458408</v>
      </c>
      <c r="H1003" s="7">
        <f t="shared" si="4"/>
        <v>0.1065404737</v>
      </c>
      <c r="I1003" s="2" t="str">
        <f t="shared" si="5"/>
        <v>2016-09</v>
      </c>
      <c r="J1003" s="2">
        <f t="shared" si="6"/>
        <v>2016</v>
      </c>
      <c r="K1003" s="2">
        <f t="shared" si="7"/>
        <v>2</v>
      </c>
      <c r="L1003" s="2" t="str">
        <f t="shared" si="8"/>
        <v>Mon</v>
      </c>
    </row>
    <row r="1004" ht="15.0" customHeight="1">
      <c r="A1004" s="4">
        <v>42640.0</v>
      </c>
      <c r="B1004" s="2">
        <v>58941.79</v>
      </c>
      <c r="C1004" s="2">
        <v>52812.78</v>
      </c>
      <c r="D1004" s="2">
        <v>1462.0</v>
      </c>
      <c r="E1004" s="5">
        <f t="shared" si="1"/>
        <v>40.31586183</v>
      </c>
      <c r="F1004" s="7">
        <f t="shared" si="2"/>
        <v>0.1039841172</v>
      </c>
      <c r="G1004" s="5">
        <f t="shared" si="3"/>
        <v>4.192209302</v>
      </c>
      <c r="H1004" s="7">
        <f t="shared" si="4"/>
        <v>0.1039841172</v>
      </c>
      <c r="I1004" s="2" t="str">
        <f t="shared" si="5"/>
        <v>2016-09</v>
      </c>
      <c r="J1004" s="2">
        <f t="shared" si="6"/>
        <v>2016</v>
      </c>
      <c r="K1004" s="2">
        <f t="shared" si="7"/>
        <v>3</v>
      </c>
      <c r="L1004" s="2" t="str">
        <f t="shared" si="8"/>
        <v>Tue</v>
      </c>
    </row>
    <row r="1005" ht="15.0" customHeight="1">
      <c r="A1005" s="4">
        <v>42641.0</v>
      </c>
      <c r="B1005" s="2">
        <v>58796.79</v>
      </c>
      <c r="C1005" s="2">
        <v>57168.56</v>
      </c>
      <c r="D1005" s="2">
        <v>1581.0</v>
      </c>
      <c r="E1005" s="5">
        <f t="shared" si="1"/>
        <v>37.18962049</v>
      </c>
      <c r="F1005" s="7">
        <f t="shared" si="2"/>
        <v>0.02769249818</v>
      </c>
      <c r="G1005" s="5">
        <f t="shared" si="3"/>
        <v>1.029873498</v>
      </c>
      <c r="H1005" s="7">
        <f t="shared" si="4"/>
        <v>0.02769249818</v>
      </c>
      <c r="I1005" s="2" t="str">
        <f t="shared" si="5"/>
        <v>2016-09</v>
      </c>
      <c r="J1005" s="2">
        <f t="shared" si="6"/>
        <v>2016</v>
      </c>
      <c r="K1005" s="2">
        <f t="shared" si="7"/>
        <v>4</v>
      </c>
      <c r="L1005" s="2" t="str">
        <f t="shared" si="8"/>
        <v>Wed</v>
      </c>
    </row>
    <row r="1006" ht="15.0" customHeight="1">
      <c r="A1006" s="4">
        <v>42642.0</v>
      </c>
      <c r="B1006" s="2">
        <v>57019.39</v>
      </c>
      <c r="C1006" s="2">
        <v>55187.38</v>
      </c>
      <c r="D1006" s="2">
        <v>1534.0</v>
      </c>
      <c r="E1006" s="5">
        <f t="shared" si="1"/>
        <v>37.17039765</v>
      </c>
      <c r="F1006" s="7">
        <f t="shared" si="2"/>
        <v>0.03212959662</v>
      </c>
      <c r="G1006" s="5">
        <f t="shared" si="3"/>
        <v>1.194269883</v>
      </c>
      <c r="H1006" s="7">
        <f t="shared" si="4"/>
        <v>0.03212959662</v>
      </c>
      <c r="I1006" s="2" t="str">
        <f t="shared" si="5"/>
        <v>2016-09</v>
      </c>
      <c r="J1006" s="2">
        <f t="shared" si="6"/>
        <v>2016</v>
      </c>
      <c r="K1006" s="2">
        <f t="shared" si="7"/>
        <v>5</v>
      </c>
      <c r="L1006" s="2" t="str">
        <f t="shared" si="8"/>
        <v>Thu</v>
      </c>
    </row>
    <row r="1007" ht="15.0" customHeight="1">
      <c r="A1007" s="4">
        <v>42643.0</v>
      </c>
      <c r="B1007" s="2">
        <v>155918.38</v>
      </c>
      <c r="C1007" s="2">
        <v>151036.45</v>
      </c>
      <c r="D1007" s="2">
        <v>4216.0</v>
      </c>
      <c r="E1007" s="5">
        <f t="shared" si="1"/>
        <v>36.98253795</v>
      </c>
      <c r="F1007" s="7">
        <f t="shared" si="2"/>
        <v>0.03131080505</v>
      </c>
      <c r="G1007" s="5">
        <f t="shared" si="3"/>
        <v>1.157953036</v>
      </c>
      <c r="H1007" s="7">
        <f t="shared" si="4"/>
        <v>0.03131080505</v>
      </c>
      <c r="I1007" s="2" t="str">
        <f t="shared" si="5"/>
        <v>2016-09</v>
      </c>
      <c r="J1007" s="2">
        <f t="shared" si="6"/>
        <v>2016</v>
      </c>
      <c r="K1007" s="2">
        <f t="shared" si="7"/>
        <v>6</v>
      </c>
      <c r="L1007" s="2" t="str">
        <f t="shared" si="8"/>
        <v>Fri</v>
      </c>
    </row>
    <row r="1008" ht="15.0" customHeight="1">
      <c r="A1008" s="4">
        <v>42644.0</v>
      </c>
      <c r="B1008" s="2">
        <v>208489.09</v>
      </c>
      <c r="C1008" s="2">
        <v>201416.84</v>
      </c>
      <c r="D1008" s="2">
        <v>5632.0</v>
      </c>
      <c r="E1008" s="5">
        <f t="shared" si="1"/>
        <v>37.01865945</v>
      </c>
      <c r="F1008" s="7">
        <f t="shared" si="2"/>
        <v>0.03392143925</v>
      </c>
      <c r="G1008" s="5">
        <f t="shared" si="3"/>
        <v>1.255726207</v>
      </c>
      <c r="H1008" s="7">
        <f t="shared" si="4"/>
        <v>0.03392143925</v>
      </c>
      <c r="I1008" s="2" t="str">
        <f t="shared" si="5"/>
        <v>2016-10</v>
      </c>
      <c r="J1008" s="2">
        <f t="shared" si="6"/>
        <v>2016</v>
      </c>
      <c r="K1008" s="2">
        <f t="shared" si="7"/>
        <v>7</v>
      </c>
      <c r="L1008" s="2" t="str">
        <f t="shared" si="8"/>
        <v>Sat</v>
      </c>
    </row>
    <row r="1009" ht="15.0" customHeight="1">
      <c r="A1009" s="4">
        <v>42645.0</v>
      </c>
      <c r="B1009" s="2">
        <v>118580.47</v>
      </c>
      <c r="C1009" s="2">
        <v>113346.96</v>
      </c>
      <c r="D1009" s="2">
        <v>3173.0</v>
      </c>
      <c r="E1009" s="5">
        <f t="shared" si="1"/>
        <v>37.37172077</v>
      </c>
      <c r="F1009" s="7">
        <f t="shared" si="2"/>
        <v>0.04413467074</v>
      </c>
      <c r="G1009" s="5">
        <f t="shared" si="3"/>
        <v>1.649388591</v>
      </c>
      <c r="H1009" s="7">
        <f t="shared" si="4"/>
        <v>0.04413467074</v>
      </c>
      <c r="I1009" s="2" t="str">
        <f t="shared" si="5"/>
        <v>2016-10</v>
      </c>
      <c r="J1009" s="2">
        <f t="shared" si="6"/>
        <v>2016</v>
      </c>
      <c r="K1009" s="2">
        <f t="shared" si="7"/>
        <v>1</v>
      </c>
      <c r="L1009" s="2" t="str">
        <f t="shared" si="8"/>
        <v>Sun</v>
      </c>
    </row>
    <row r="1010" ht="15.0" customHeight="1">
      <c r="A1010" s="4">
        <v>42646.0</v>
      </c>
      <c r="B1010" s="2">
        <v>142758.88</v>
      </c>
      <c r="C1010" s="2">
        <v>126506.34</v>
      </c>
      <c r="D1010" s="2">
        <v>3540.0</v>
      </c>
      <c r="E1010" s="5">
        <f t="shared" si="1"/>
        <v>40.32736723</v>
      </c>
      <c r="F1010" s="7">
        <f t="shared" si="2"/>
        <v>0.1138460879</v>
      </c>
      <c r="G1010" s="5">
        <f t="shared" si="3"/>
        <v>4.591112994</v>
      </c>
      <c r="H1010" s="7">
        <f t="shared" si="4"/>
        <v>0.1138460879</v>
      </c>
      <c r="I1010" s="2" t="str">
        <f t="shared" si="5"/>
        <v>2016-10</v>
      </c>
      <c r="J1010" s="2">
        <f t="shared" si="6"/>
        <v>2016</v>
      </c>
      <c r="K1010" s="2">
        <f t="shared" si="7"/>
        <v>2</v>
      </c>
      <c r="L1010" s="2" t="str">
        <f t="shared" si="8"/>
        <v>Mon</v>
      </c>
    </row>
    <row r="1011" ht="15.0" customHeight="1">
      <c r="A1011" s="4">
        <v>42647.0</v>
      </c>
      <c r="B1011" s="2">
        <v>96620.99</v>
      </c>
      <c r="C1011" s="2">
        <v>85491.83</v>
      </c>
      <c r="D1011" s="2">
        <v>2397.0</v>
      </c>
      <c r="E1011" s="5">
        <f t="shared" si="1"/>
        <v>40.30913225</v>
      </c>
      <c r="F1011" s="7">
        <f t="shared" si="2"/>
        <v>0.1151836676</v>
      </c>
      <c r="G1011" s="5">
        <f t="shared" si="3"/>
        <v>4.642953692</v>
      </c>
      <c r="H1011" s="7">
        <f t="shared" si="4"/>
        <v>0.1151836676</v>
      </c>
      <c r="I1011" s="2" t="str">
        <f t="shared" si="5"/>
        <v>2016-10</v>
      </c>
      <c r="J1011" s="2">
        <f t="shared" si="6"/>
        <v>2016</v>
      </c>
      <c r="K1011" s="2">
        <f t="shared" si="7"/>
        <v>3</v>
      </c>
      <c r="L1011" s="2" t="str">
        <f t="shared" si="8"/>
        <v>Tue</v>
      </c>
    </row>
    <row r="1012" ht="15.0" customHeight="1">
      <c r="A1012" s="4">
        <v>42648.0</v>
      </c>
      <c r="B1012" s="2">
        <v>78861.59</v>
      </c>
      <c r="C1012" s="2">
        <v>69675.43</v>
      </c>
      <c r="D1012" s="2">
        <v>1955.0</v>
      </c>
      <c r="E1012" s="5">
        <f t="shared" si="1"/>
        <v>40.33840921</v>
      </c>
      <c r="F1012" s="7">
        <f t="shared" si="2"/>
        <v>0.1164845903</v>
      </c>
      <c r="G1012" s="5">
        <f t="shared" si="3"/>
        <v>4.698803069</v>
      </c>
      <c r="H1012" s="7">
        <f t="shared" si="4"/>
        <v>0.1164845903</v>
      </c>
      <c r="I1012" s="2" t="str">
        <f t="shared" si="5"/>
        <v>2016-10</v>
      </c>
      <c r="J1012" s="2">
        <f t="shared" si="6"/>
        <v>2016</v>
      </c>
      <c r="K1012" s="2">
        <f t="shared" si="7"/>
        <v>4</v>
      </c>
      <c r="L1012" s="2" t="str">
        <f t="shared" si="8"/>
        <v>Wed</v>
      </c>
    </row>
    <row r="1013" ht="15.0" customHeight="1">
      <c r="A1013" s="4">
        <v>42649.0</v>
      </c>
      <c r="B1013" s="2">
        <v>70279.47</v>
      </c>
      <c r="C1013" s="2">
        <v>61976.31</v>
      </c>
      <c r="D1013" s="2">
        <v>1740.0</v>
      </c>
      <c r="E1013" s="5">
        <f t="shared" si="1"/>
        <v>40.3905</v>
      </c>
      <c r="F1013" s="7">
        <f t="shared" si="2"/>
        <v>0.1181448864</v>
      </c>
      <c r="G1013" s="5">
        <f t="shared" si="3"/>
        <v>4.771931034</v>
      </c>
      <c r="H1013" s="7">
        <f t="shared" si="4"/>
        <v>0.1181448864</v>
      </c>
      <c r="I1013" s="2" t="str">
        <f t="shared" si="5"/>
        <v>2016-10</v>
      </c>
      <c r="J1013" s="2">
        <f t="shared" si="6"/>
        <v>2016</v>
      </c>
      <c r="K1013" s="2">
        <f t="shared" si="7"/>
        <v>5</v>
      </c>
      <c r="L1013" s="2" t="str">
        <f t="shared" si="8"/>
        <v>Thu</v>
      </c>
    </row>
    <row r="1014" ht="15.0" customHeight="1">
      <c r="A1014" s="4">
        <v>42650.0</v>
      </c>
      <c r="B1014" s="2">
        <v>87748.86</v>
      </c>
      <c r="C1014" s="2">
        <v>77446.61</v>
      </c>
      <c r="D1014" s="2">
        <v>2176.0</v>
      </c>
      <c r="E1014" s="5">
        <f t="shared" si="1"/>
        <v>40.32576287</v>
      </c>
      <c r="F1014" s="7">
        <f t="shared" si="2"/>
        <v>0.1174060837</v>
      </c>
      <c r="G1014" s="5">
        <f t="shared" si="3"/>
        <v>4.73448989</v>
      </c>
      <c r="H1014" s="7">
        <f t="shared" si="4"/>
        <v>0.1174060837</v>
      </c>
      <c r="I1014" s="2" t="str">
        <f t="shared" si="5"/>
        <v>2016-10</v>
      </c>
      <c r="J1014" s="2">
        <f t="shared" si="6"/>
        <v>2016</v>
      </c>
      <c r="K1014" s="2">
        <f t="shared" si="7"/>
        <v>6</v>
      </c>
      <c r="L1014" s="2" t="str">
        <f t="shared" si="8"/>
        <v>Fri</v>
      </c>
    </row>
    <row r="1015" ht="15.0" customHeight="1">
      <c r="A1015" s="4">
        <v>42651.0</v>
      </c>
      <c r="B1015" s="2">
        <v>92053.33</v>
      </c>
      <c r="C1015" s="2">
        <v>81209.25</v>
      </c>
      <c r="D1015" s="2">
        <v>2283.0</v>
      </c>
      <c r="E1015" s="5">
        <f t="shared" si="1"/>
        <v>40.32121332</v>
      </c>
      <c r="F1015" s="7">
        <f t="shared" si="2"/>
        <v>0.117802148</v>
      </c>
      <c r="G1015" s="5">
        <f t="shared" si="3"/>
        <v>4.749925537</v>
      </c>
      <c r="H1015" s="7">
        <f t="shared" si="4"/>
        <v>0.117802148</v>
      </c>
      <c r="I1015" s="2" t="str">
        <f t="shared" si="5"/>
        <v>2016-10</v>
      </c>
      <c r="J1015" s="2">
        <f t="shared" si="6"/>
        <v>2016</v>
      </c>
      <c r="K1015" s="2">
        <f t="shared" si="7"/>
        <v>7</v>
      </c>
      <c r="L1015" s="2" t="str">
        <f t="shared" si="8"/>
        <v>Sat</v>
      </c>
    </row>
    <row r="1016" ht="15.0" customHeight="1">
      <c r="A1016" s="4">
        <v>42652.0</v>
      </c>
      <c r="B1016" s="2">
        <v>51751.38</v>
      </c>
      <c r="C1016" s="2">
        <v>45607.23</v>
      </c>
      <c r="D1016" s="2">
        <v>1284.0</v>
      </c>
      <c r="E1016" s="5">
        <f t="shared" si="1"/>
        <v>40.30481308</v>
      </c>
      <c r="F1016" s="7">
        <f t="shared" si="2"/>
        <v>0.1187243702</v>
      </c>
      <c r="G1016" s="5">
        <f t="shared" si="3"/>
        <v>4.785163551</v>
      </c>
      <c r="H1016" s="7">
        <f t="shared" si="4"/>
        <v>0.1187243702</v>
      </c>
      <c r="I1016" s="2" t="str">
        <f t="shared" si="5"/>
        <v>2016-10</v>
      </c>
      <c r="J1016" s="2">
        <f t="shared" si="6"/>
        <v>2016</v>
      </c>
      <c r="K1016" s="2">
        <f t="shared" si="7"/>
        <v>1</v>
      </c>
      <c r="L1016" s="2" t="str">
        <f t="shared" si="8"/>
        <v>Sun</v>
      </c>
    </row>
    <row r="1017" ht="15.0" customHeight="1">
      <c r="A1017" s="4">
        <v>42653.0</v>
      </c>
      <c r="B1017" s="2">
        <v>50934.98</v>
      </c>
      <c r="C1017" s="2">
        <v>44983.78</v>
      </c>
      <c r="D1017" s="2">
        <v>1263.0</v>
      </c>
      <c r="E1017" s="5">
        <f t="shared" si="1"/>
        <v>40.3285669</v>
      </c>
      <c r="F1017" s="7">
        <f t="shared" si="2"/>
        <v>0.1168391545</v>
      </c>
      <c r="G1017" s="5">
        <f t="shared" si="3"/>
        <v>4.711955661</v>
      </c>
      <c r="H1017" s="7">
        <f t="shared" si="4"/>
        <v>0.1168391545</v>
      </c>
      <c r="I1017" s="2" t="str">
        <f t="shared" si="5"/>
        <v>2016-10</v>
      </c>
      <c r="J1017" s="2">
        <f t="shared" si="6"/>
        <v>2016</v>
      </c>
      <c r="K1017" s="2">
        <f t="shared" si="7"/>
        <v>2</v>
      </c>
      <c r="L1017" s="2" t="str">
        <f t="shared" si="8"/>
        <v>Mon</v>
      </c>
    </row>
    <row r="1018" ht="15.0" customHeight="1">
      <c r="A1018" s="4">
        <v>42654.0</v>
      </c>
      <c r="B1018" s="2">
        <v>36113.93</v>
      </c>
      <c r="C1018" s="2">
        <v>31885.29</v>
      </c>
      <c r="D1018" s="2">
        <v>896.0</v>
      </c>
      <c r="E1018" s="5">
        <f t="shared" si="1"/>
        <v>40.30572545</v>
      </c>
      <c r="F1018" s="7">
        <f t="shared" si="2"/>
        <v>0.1170916596</v>
      </c>
      <c r="G1018" s="5">
        <f t="shared" si="3"/>
        <v>4.719464286</v>
      </c>
      <c r="H1018" s="7">
        <f t="shared" si="4"/>
        <v>0.1170916596</v>
      </c>
      <c r="I1018" s="2" t="str">
        <f t="shared" si="5"/>
        <v>2016-10</v>
      </c>
      <c r="J1018" s="2">
        <f t="shared" si="6"/>
        <v>2016</v>
      </c>
      <c r="K1018" s="2">
        <f t="shared" si="7"/>
        <v>3</v>
      </c>
      <c r="L1018" s="2" t="str">
        <f t="shared" si="8"/>
        <v>Tue</v>
      </c>
    </row>
    <row r="1019" ht="15.0" customHeight="1">
      <c r="A1019" s="4">
        <v>42655.0</v>
      </c>
      <c r="B1019" s="2">
        <v>31023.36</v>
      </c>
      <c r="C1019" s="2">
        <v>27817.64</v>
      </c>
      <c r="D1019" s="2">
        <v>768.0</v>
      </c>
      <c r="E1019" s="5">
        <f t="shared" si="1"/>
        <v>40.395</v>
      </c>
      <c r="F1019" s="7">
        <f t="shared" si="2"/>
        <v>0.1033324566</v>
      </c>
      <c r="G1019" s="5">
        <f t="shared" si="3"/>
        <v>4.174114583</v>
      </c>
      <c r="H1019" s="7">
        <f t="shared" si="4"/>
        <v>0.1033324566</v>
      </c>
      <c r="I1019" s="2" t="str">
        <f t="shared" si="5"/>
        <v>2016-10</v>
      </c>
      <c r="J1019" s="2">
        <f t="shared" si="6"/>
        <v>2016</v>
      </c>
      <c r="K1019" s="2">
        <f t="shared" si="7"/>
        <v>4</v>
      </c>
      <c r="L1019" s="2" t="str">
        <f t="shared" si="8"/>
        <v>Wed</v>
      </c>
    </row>
    <row r="1020" ht="15.0" customHeight="1">
      <c r="A1020" s="4">
        <v>42656.0</v>
      </c>
      <c r="B1020" s="2">
        <v>22334.21</v>
      </c>
      <c r="C1020" s="2">
        <v>19704.09</v>
      </c>
      <c r="D1020" s="2">
        <v>521.0</v>
      </c>
      <c r="E1020" s="5">
        <f t="shared" si="1"/>
        <v>42.86796545</v>
      </c>
      <c r="F1020" s="7">
        <f t="shared" si="2"/>
        <v>0.1177619446</v>
      </c>
      <c r="G1020" s="5">
        <f t="shared" si="3"/>
        <v>5.048214971</v>
      </c>
      <c r="H1020" s="7">
        <f t="shared" si="4"/>
        <v>0.1177619446</v>
      </c>
      <c r="I1020" s="2" t="str">
        <f t="shared" si="5"/>
        <v>2016-10</v>
      </c>
      <c r="J1020" s="2">
        <f t="shared" si="6"/>
        <v>2016</v>
      </c>
      <c r="K1020" s="2">
        <f t="shared" si="7"/>
        <v>5</v>
      </c>
      <c r="L1020" s="2" t="str">
        <f t="shared" si="8"/>
        <v>Thu</v>
      </c>
    </row>
    <row r="1021" ht="15.0" customHeight="1">
      <c r="A1021" s="4">
        <v>42657.0</v>
      </c>
      <c r="B1021" s="2">
        <v>69440.93</v>
      </c>
      <c r="C1021" s="2">
        <v>62070.75</v>
      </c>
      <c r="D1021" s="2">
        <v>1618.0</v>
      </c>
      <c r="E1021" s="5">
        <f t="shared" si="1"/>
        <v>42.91775649</v>
      </c>
      <c r="F1021" s="7">
        <f t="shared" si="2"/>
        <v>0.1061359633</v>
      </c>
      <c r="G1021" s="5">
        <f t="shared" si="3"/>
        <v>4.555117429</v>
      </c>
      <c r="H1021" s="7">
        <f t="shared" si="4"/>
        <v>0.1061359633</v>
      </c>
      <c r="I1021" s="2" t="str">
        <f t="shared" si="5"/>
        <v>2016-10</v>
      </c>
      <c r="J1021" s="2">
        <f t="shared" si="6"/>
        <v>2016</v>
      </c>
      <c r="K1021" s="2">
        <f t="shared" si="7"/>
        <v>6</v>
      </c>
      <c r="L1021" s="2" t="str">
        <f t="shared" si="8"/>
        <v>Fri</v>
      </c>
    </row>
    <row r="1022" ht="15.0" customHeight="1">
      <c r="A1022" s="4">
        <v>42658.0</v>
      </c>
      <c r="B1022" s="2">
        <v>92159.03</v>
      </c>
      <c r="C1022" s="2">
        <v>83371.82</v>
      </c>
      <c r="D1022" s="2">
        <v>2147.0</v>
      </c>
      <c r="E1022" s="5">
        <f t="shared" si="1"/>
        <v>42.92455985</v>
      </c>
      <c r="F1022" s="7">
        <f t="shared" si="2"/>
        <v>0.09534833429</v>
      </c>
      <c r="G1022" s="5">
        <f t="shared" si="3"/>
        <v>4.092785282</v>
      </c>
      <c r="H1022" s="7">
        <f t="shared" si="4"/>
        <v>0.09534833429</v>
      </c>
      <c r="I1022" s="2" t="str">
        <f t="shared" si="5"/>
        <v>2016-10</v>
      </c>
      <c r="J1022" s="2">
        <f t="shared" si="6"/>
        <v>2016</v>
      </c>
      <c r="K1022" s="2">
        <f t="shared" si="7"/>
        <v>7</v>
      </c>
      <c r="L1022" s="2" t="str">
        <f t="shared" si="8"/>
        <v>Sat</v>
      </c>
    </row>
    <row r="1023" ht="15.0" customHeight="1">
      <c r="A1023" s="4">
        <v>42659.0</v>
      </c>
      <c r="B1023" s="2">
        <v>57296.29</v>
      </c>
      <c r="C1023" s="2">
        <v>52701.29</v>
      </c>
      <c r="D1023" s="2">
        <v>1335.0</v>
      </c>
      <c r="E1023" s="5">
        <f t="shared" si="1"/>
        <v>42.91856929</v>
      </c>
      <c r="F1023" s="7">
        <f t="shared" si="2"/>
        <v>0.0801971646</v>
      </c>
      <c r="G1023" s="5">
        <f t="shared" si="3"/>
        <v>3.441947566</v>
      </c>
      <c r="H1023" s="7">
        <f t="shared" si="4"/>
        <v>0.0801971646</v>
      </c>
      <c r="I1023" s="2" t="str">
        <f t="shared" si="5"/>
        <v>2016-10</v>
      </c>
      <c r="J1023" s="2">
        <f t="shared" si="6"/>
        <v>2016</v>
      </c>
      <c r="K1023" s="2">
        <f t="shared" si="7"/>
        <v>1</v>
      </c>
      <c r="L1023" s="2" t="str">
        <f t="shared" si="8"/>
        <v>Sun</v>
      </c>
    </row>
    <row r="1024" ht="15.0" customHeight="1">
      <c r="A1024" s="4">
        <v>42660.0</v>
      </c>
      <c r="B1024" s="2">
        <v>57184.94</v>
      </c>
      <c r="C1024" s="2">
        <v>51764.94</v>
      </c>
      <c r="D1024" s="2">
        <v>1332.0</v>
      </c>
      <c r="E1024" s="5">
        <f t="shared" si="1"/>
        <v>42.93163664</v>
      </c>
      <c r="F1024" s="7">
        <f t="shared" si="2"/>
        <v>0.09478019912</v>
      </c>
      <c r="G1024" s="5">
        <f t="shared" si="3"/>
        <v>4.069069069</v>
      </c>
      <c r="H1024" s="7">
        <f t="shared" si="4"/>
        <v>0.09478019912</v>
      </c>
      <c r="I1024" s="2" t="str">
        <f t="shared" si="5"/>
        <v>2016-10</v>
      </c>
      <c r="J1024" s="2">
        <f t="shared" si="6"/>
        <v>2016</v>
      </c>
      <c r="K1024" s="2">
        <f t="shared" si="7"/>
        <v>2</v>
      </c>
      <c r="L1024" s="2" t="str">
        <f t="shared" si="8"/>
        <v>Mon</v>
      </c>
    </row>
    <row r="1025" ht="15.0" customHeight="1">
      <c r="A1025" s="4">
        <v>42661.0</v>
      </c>
      <c r="B1025" s="2">
        <v>40951.1</v>
      </c>
      <c r="C1025" s="2">
        <v>37288.62</v>
      </c>
      <c r="D1025" s="2">
        <v>954.0</v>
      </c>
      <c r="E1025" s="5">
        <f t="shared" si="1"/>
        <v>42.92568134</v>
      </c>
      <c r="F1025" s="7">
        <f t="shared" si="2"/>
        <v>0.08943544862</v>
      </c>
      <c r="G1025" s="5">
        <f t="shared" si="3"/>
        <v>3.839077568</v>
      </c>
      <c r="H1025" s="7">
        <f t="shared" si="4"/>
        <v>0.08943544862</v>
      </c>
      <c r="I1025" s="2" t="str">
        <f t="shared" si="5"/>
        <v>2016-10</v>
      </c>
      <c r="J1025" s="2">
        <f t="shared" si="6"/>
        <v>2016</v>
      </c>
      <c r="K1025" s="2">
        <f t="shared" si="7"/>
        <v>3</v>
      </c>
      <c r="L1025" s="2" t="str">
        <f t="shared" si="8"/>
        <v>Tue</v>
      </c>
    </row>
    <row r="1026" ht="15.0" customHeight="1">
      <c r="A1026" s="4">
        <v>42662.0</v>
      </c>
      <c r="B1026" s="2">
        <v>37672.45</v>
      </c>
      <c r="C1026" s="2">
        <v>33678.46</v>
      </c>
      <c r="D1026" s="2">
        <v>877.0</v>
      </c>
      <c r="E1026" s="5">
        <f t="shared" si="1"/>
        <v>42.95604333</v>
      </c>
      <c r="F1026" s="7">
        <f t="shared" si="2"/>
        <v>0.1060188546</v>
      </c>
      <c r="G1026" s="5">
        <f t="shared" si="3"/>
        <v>4.554150513</v>
      </c>
      <c r="H1026" s="7">
        <f t="shared" si="4"/>
        <v>0.1060188546</v>
      </c>
      <c r="I1026" s="2" t="str">
        <f t="shared" si="5"/>
        <v>2016-10</v>
      </c>
      <c r="J1026" s="2">
        <f t="shared" si="6"/>
        <v>2016</v>
      </c>
      <c r="K1026" s="2">
        <f t="shared" si="7"/>
        <v>4</v>
      </c>
      <c r="L1026" s="2" t="str">
        <f t="shared" si="8"/>
        <v>Wed</v>
      </c>
    </row>
    <row r="1027" ht="15.0" customHeight="1">
      <c r="A1027" s="4">
        <v>42663.0</v>
      </c>
      <c r="B1027" s="2">
        <v>38648.14</v>
      </c>
      <c r="C1027" s="2">
        <v>35038.07</v>
      </c>
      <c r="D1027" s="2">
        <v>906.0</v>
      </c>
      <c r="E1027" s="5">
        <f t="shared" si="1"/>
        <v>42.65799117</v>
      </c>
      <c r="F1027" s="7">
        <f t="shared" si="2"/>
        <v>0.09340863493</v>
      </c>
      <c r="G1027" s="5">
        <f t="shared" si="3"/>
        <v>3.984624724</v>
      </c>
      <c r="H1027" s="7">
        <f t="shared" si="4"/>
        <v>0.09340863493</v>
      </c>
      <c r="I1027" s="2" t="str">
        <f t="shared" si="5"/>
        <v>2016-10</v>
      </c>
      <c r="J1027" s="2">
        <f t="shared" si="6"/>
        <v>2016</v>
      </c>
      <c r="K1027" s="2">
        <f t="shared" si="7"/>
        <v>5</v>
      </c>
      <c r="L1027" s="2" t="str">
        <f t="shared" si="8"/>
        <v>Thu</v>
      </c>
    </row>
    <row r="1028" ht="15.0" customHeight="1">
      <c r="A1028" s="4">
        <v>42664.0</v>
      </c>
      <c r="B1028" s="2">
        <v>96020.55</v>
      </c>
      <c r="C1028" s="2">
        <v>86810.28</v>
      </c>
      <c r="D1028" s="2">
        <v>2249.0</v>
      </c>
      <c r="E1028" s="5">
        <f t="shared" si="1"/>
        <v>42.69477546</v>
      </c>
      <c r="F1028" s="7">
        <f t="shared" si="2"/>
        <v>0.09591977967</v>
      </c>
      <c r="G1028" s="5">
        <f t="shared" si="3"/>
        <v>4.095273455</v>
      </c>
      <c r="H1028" s="7">
        <f t="shared" si="4"/>
        <v>0.09591977967</v>
      </c>
      <c r="I1028" s="2" t="str">
        <f t="shared" si="5"/>
        <v>2016-10</v>
      </c>
      <c r="J1028" s="2">
        <f t="shared" si="6"/>
        <v>2016</v>
      </c>
      <c r="K1028" s="2">
        <f t="shared" si="7"/>
        <v>6</v>
      </c>
      <c r="L1028" s="2" t="str">
        <f t="shared" si="8"/>
        <v>Fri</v>
      </c>
    </row>
    <row r="1029" ht="15.0" customHeight="1">
      <c r="A1029" s="4">
        <v>42665.0</v>
      </c>
      <c r="B1029" s="2">
        <v>105662.59</v>
      </c>
      <c r="C1029" s="2">
        <v>95930.02</v>
      </c>
      <c r="D1029" s="2">
        <v>2472.0</v>
      </c>
      <c r="E1029" s="5">
        <f t="shared" si="1"/>
        <v>42.74376618</v>
      </c>
      <c r="F1029" s="7">
        <f t="shared" si="2"/>
        <v>0.09210989433</v>
      </c>
      <c r="G1029" s="5">
        <f t="shared" si="3"/>
        <v>3.937123786</v>
      </c>
      <c r="H1029" s="7">
        <f t="shared" si="4"/>
        <v>0.09210989433</v>
      </c>
      <c r="I1029" s="2" t="str">
        <f t="shared" si="5"/>
        <v>2016-10</v>
      </c>
      <c r="J1029" s="2">
        <f t="shared" si="6"/>
        <v>2016</v>
      </c>
      <c r="K1029" s="2">
        <f t="shared" si="7"/>
        <v>7</v>
      </c>
      <c r="L1029" s="2" t="str">
        <f t="shared" si="8"/>
        <v>Sat</v>
      </c>
    </row>
    <row r="1030" ht="15.0" customHeight="1">
      <c r="A1030" s="4">
        <v>42666.0</v>
      </c>
      <c r="B1030" s="2">
        <v>54738.48</v>
      </c>
      <c r="C1030" s="2">
        <v>49990.52</v>
      </c>
      <c r="D1030" s="2">
        <v>1280.0</v>
      </c>
      <c r="E1030" s="5">
        <f t="shared" si="1"/>
        <v>42.7644375</v>
      </c>
      <c r="F1030" s="7">
        <f t="shared" si="2"/>
        <v>0.08673898143</v>
      </c>
      <c r="G1030" s="5">
        <f t="shared" si="3"/>
        <v>3.70934375</v>
      </c>
      <c r="H1030" s="7">
        <f t="shared" si="4"/>
        <v>0.08673898143</v>
      </c>
      <c r="I1030" s="2" t="str">
        <f t="shared" si="5"/>
        <v>2016-10</v>
      </c>
      <c r="J1030" s="2">
        <f t="shared" si="6"/>
        <v>2016</v>
      </c>
      <c r="K1030" s="2">
        <f t="shared" si="7"/>
        <v>1</v>
      </c>
      <c r="L1030" s="2" t="str">
        <f t="shared" si="8"/>
        <v>Sun</v>
      </c>
    </row>
    <row r="1031" ht="15.0" customHeight="1">
      <c r="A1031" s="4">
        <v>42667.0</v>
      </c>
      <c r="B1031" s="2">
        <v>40131.57</v>
      </c>
      <c r="C1031" s="2">
        <v>36347.7</v>
      </c>
      <c r="D1031" s="2">
        <v>940.0</v>
      </c>
      <c r="E1031" s="5">
        <f t="shared" si="1"/>
        <v>42.69315957</v>
      </c>
      <c r="F1031" s="7">
        <f t="shared" si="2"/>
        <v>0.09428661774</v>
      </c>
      <c r="G1031" s="5">
        <f t="shared" si="3"/>
        <v>4.025393617</v>
      </c>
      <c r="H1031" s="7">
        <f t="shared" si="4"/>
        <v>0.09428661774</v>
      </c>
      <c r="I1031" s="2" t="str">
        <f t="shared" si="5"/>
        <v>2016-10</v>
      </c>
      <c r="J1031" s="2">
        <f t="shared" si="6"/>
        <v>2016</v>
      </c>
      <c r="K1031" s="2">
        <f t="shared" si="7"/>
        <v>2</v>
      </c>
      <c r="L1031" s="2" t="str">
        <f t="shared" si="8"/>
        <v>Mon</v>
      </c>
    </row>
    <row r="1032" ht="15.0" customHeight="1">
      <c r="A1032" s="4">
        <v>42668.0</v>
      </c>
      <c r="B1032" s="2">
        <v>70402.99</v>
      </c>
      <c r="C1032" s="2">
        <v>63452.76</v>
      </c>
      <c r="D1032" s="2">
        <v>1650.0</v>
      </c>
      <c r="E1032" s="5">
        <f t="shared" si="1"/>
        <v>42.66847879</v>
      </c>
      <c r="F1032" s="7">
        <f t="shared" si="2"/>
        <v>0.09872066513</v>
      </c>
      <c r="G1032" s="5">
        <f t="shared" si="3"/>
        <v>4.212260606</v>
      </c>
      <c r="H1032" s="7">
        <f t="shared" si="4"/>
        <v>0.09872066513</v>
      </c>
      <c r="I1032" s="2" t="str">
        <f t="shared" si="5"/>
        <v>2016-10</v>
      </c>
      <c r="J1032" s="2">
        <f t="shared" si="6"/>
        <v>2016</v>
      </c>
      <c r="K1032" s="2">
        <f t="shared" si="7"/>
        <v>3</v>
      </c>
      <c r="L1032" s="2" t="str">
        <f t="shared" si="8"/>
        <v>Tue</v>
      </c>
    </row>
    <row r="1033" ht="15.0" customHeight="1">
      <c r="A1033" s="4">
        <v>42669.0</v>
      </c>
      <c r="B1033" s="2">
        <v>62501.74</v>
      </c>
      <c r="C1033" s="2">
        <v>56100.87</v>
      </c>
      <c r="D1033" s="2">
        <v>1467.0</v>
      </c>
      <c r="E1033" s="5">
        <f t="shared" si="1"/>
        <v>42.60513974</v>
      </c>
      <c r="F1033" s="7">
        <f t="shared" si="2"/>
        <v>0.1024110689</v>
      </c>
      <c r="G1033" s="5">
        <f t="shared" si="3"/>
        <v>4.3632379</v>
      </c>
      <c r="H1033" s="7">
        <f t="shared" si="4"/>
        <v>0.1024110689</v>
      </c>
      <c r="I1033" s="2" t="str">
        <f t="shared" si="5"/>
        <v>2016-10</v>
      </c>
      <c r="J1033" s="2">
        <f t="shared" si="6"/>
        <v>2016</v>
      </c>
      <c r="K1033" s="2">
        <f t="shared" si="7"/>
        <v>4</v>
      </c>
      <c r="L1033" s="2" t="str">
        <f t="shared" si="8"/>
        <v>Wed</v>
      </c>
    </row>
    <row r="1034" ht="15.0" customHeight="1">
      <c r="A1034" s="4">
        <v>42670.0</v>
      </c>
      <c r="B1034" s="2">
        <v>53675.22</v>
      </c>
      <c r="C1034" s="2">
        <v>48201.94</v>
      </c>
      <c r="D1034" s="2">
        <v>1257.0</v>
      </c>
      <c r="E1034" s="5">
        <f t="shared" si="1"/>
        <v>42.70105012</v>
      </c>
      <c r="F1034" s="7">
        <f t="shared" si="2"/>
        <v>0.1019703319</v>
      </c>
      <c r="G1034" s="5">
        <f t="shared" si="3"/>
        <v>4.354240255</v>
      </c>
      <c r="H1034" s="7">
        <f t="shared" si="4"/>
        <v>0.1019703319</v>
      </c>
      <c r="I1034" s="2" t="str">
        <f t="shared" si="5"/>
        <v>2016-10</v>
      </c>
      <c r="J1034" s="2">
        <f t="shared" si="6"/>
        <v>2016</v>
      </c>
      <c r="K1034" s="2">
        <f t="shared" si="7"/>
        <v>5</v>
      </c>
      <c r="L1034" s="2" t="str">
        <f t="shared" si="8"/>
        <v>Thu</v>
      </c>
    </row>
    <row r="1035" ht="15.0" customHeight="1">
      <c r="A1035" s="4">
        <v>42671.0</v>
      </c>
      <c r="B1035" s="2">
        <v>102606.33</v>
      </c>
      <c r="C1035" s="2">
        <v>92657.7</v>
      </c>
      <c r="D1035" s="2">
        <v>2405.0</v>
      </c>
      <c r="E1035" s="5">
        <f t="shared" si="1"/>
        <v>42.66375468</v>
      </c>
      <c r="F1035" s="7">
        <f t="shared" si="2"/>
        <v>0.09695922269</v>
      </c>
      <c r="G1035" s="5">
        <f t="shared" si="3"/>
        <v>4.136644491</v>
      </c>
      <c r="H1035" s="7">
        <f t="shared" si="4"/>
        <v>0.09695922269</v>
      </c>
      <c r="I1035" s="2" t="str">
        <f t="shared" si="5"/>
        <v>2016-10</v>
      </c>
      <c r="J1035" s="2">
        <f t="shared" si="6"/>
        <v>2016</v>
      </c>
      <c r="K1035" s="2">
        <f t="shared" si="7"/>
        <v>6</v>
      </c>
      <c r="L1035" s="2" t="str">
        <f t="shared" si="8"/>
        <v>Fri</v>
      </c>
    </row>
    <row r="1036" ht="15.0" customHeight="1">
      <c r="A1036" s="4">
        <v>42672.0</v>
      </c>
      <c r="B1036" s="2">
        <v>124988.16</v>
      </c>
      <c r="C1036" s="2">
        <v>113187.85</v>
      </c>
      <c r="D1036" s="2">
        <v>2929.0</v>
      </c>
      <c r="E1036" s="5">
        <f t="shared" si="1"/>
        <v>42.67263913</v>
      </c>
      <c r="F1036" s="7">
        <f t="shared" si="2"/>
        <v>0.09441142265</v>
      </c>
      <c r="G1036" s="5">
        <f t="shared" si="3"/>
        <v>4.028784568</v>
      </c>
      <c r="H1036" s="7">
        <f t="shared" si="4"/>
        <v>0.09441142265</v>
      </c>
      <c r="I1036" s="2" t="str">
        <f t="shared" si="5"/>
        <v>2016-10</v>
      </c>
      <c r="J1036" s="2">
        <f t="shared" si="6"/>
        <v>2016</v>
      </c>
      <c r="K1036" s="2">
        <f t="shared" si="7"/>
        <v>7</v>
      </c>
      <c r="L1036" s="2" t="str">
        <f t="shared" si="8"/>
        <v>Sat</v>
      </c>
    </row>
    <row r="1037" ht="15.0" customHeight="1">
      <c r="A1037" s="4">
        <v>42673.0</v>
      </c>
      <c r="B1037" s="2">
        <v>67521.04</v>
      </c>
      <c r="C1037" s="2">
        <v>61233.72</v>
      </c>
      <c r="D1037" s="2">
        <v>1582.0</v>
      </c>
      <c r="E1037" s="5">
        <f t="shared" si="1"/>
        <v>42.6808091</v>
      </c>
      <c r="F1037" s="7">
        <f t="shared" si="2"/>
        <v>0.09311645674</v>
      </c>
      <c r="G1037" s="5">
        <f t="shared" si="3"/>
        <v>3.974285714</v>
      </c>
      <c r="H1037" s="7">
        <f t="shared" si="4"/>
        <v>0.09311645674</v>
      </c>
      <c r="I1037" s="2" t="str">
        <f t="shared" si="5"/>
        <v>2016-10</v>
      </c>
      <c r="J1037" s="2">
        <f t="shared" si="6"/>
        <v>2016</v>
      </c>
      <c r="K1037" s="2">
        <f t="shared" si="7"/>
        <v>1</v>
      </c>
      <c r="L1037" s="2" t="str">
        <f t="shared" si="8"/>
        <v>Sun</v>
      </c>
    </row>
    <row r="1038" ht="15.0" customHeight="1">
      <c r="A1038" s="4">
        <v>42674.0</v>
      </c>
      <c r="B1038" s="2">
        <v>70020.6</v>
      </c>
      <c r="C1038" s="2">
        <v>62316.15</v>
      </c>
      <c r="D1038" s="2">
        <v>1639.0</v>
      </c>
      <c r="E1038" s="5">
        <f t="shared" si="1"/>
        <v>42.72153752</v>
      </c>
      <c r="F1038" s="7">
        <f t="shared" si="2"/>
        <v>0.1100311908</v>
      </c>
      <c r="G1038" s="5">
        <f t="shared" si="3"/>
        <v>4.700701647</v>
      </c>
      <c r="H1038" s="7">
        <f t="shared" si="4"/>
        <v>0.1100311908</v>
      </c>
      <c r="I1038" s="2" t="str">
        <f t="shared" si="5"/>
        <v>2016-10</v>
      </c>
      <c r="J1038" s="2">
        <f t="shared" si="6"/>
        <v>2016</v>
      </c>
      <c r="K1038" s="2">
        <f t="shared" si="7"/>
        <v>2</v>
      </c>
      <c r="L1038" s="2" t="str">
        <f t="shared" si="8"/>
        <v>Mon</v>
      </c>
    </row>
    <row r="1039" ht="15.0" customHeight="1">
      <c r="A1039" s="4">
        <v>42675.0</v>
      </c>
      <c r="B1039" s="2">
        <v>126954.17</v>
      </c>
      <c r="C1039" s="2">
        <v>110698.74</v>
      </c>
      <c r="D1039" s="2">
        <v>2971.0</v>
      </c>
      <c r="E1039" s="5">
        <f t="shared" si="1"/>
        <v>42.7311242</v>
      </c>
      <c r="F1039" s="7">
        <f t="shared" si="2"/>
        <v>0.1280417177</v>
      </c>
      <c r="G1039" s="5">
        <f t="shared" si="3"/>
        <v>5.471366543</v>
      </c>
      <c r="H1039" s="7">
        <f t="shared" si="4"/>
        <v>0.1280417177</v>
      </c>
      <c r="I1039" s="2" t="str">
        <f t="shared" si="5"/>
        <v>2016-11</v>
      </c>
      <c r="J1039" s="2">
        <f t="shared" si="6"/>
        <v>2016</v>
      </c>
      <c r="K1039" s="2">
        <f t="shared" si="7"/>
        <v>3</v>
      </c>
      <c r="L1039" s="2" t="str">
        <f t="shared" si="8"/>
        <v>Tue</v>
      </c>
    </row>
    <row r="1040" ht="15.0" customHeight="1">
      <c r="A1040" s="4">
        <v>42676.0</v>
      </c>
      <c r="B1040" s="2">
        <v>97558.25</v>
      </c>
      <c r="C1040" s="2">
        <v>86203.88</v>
      </c>
      <c r="D1040" s="2">
        <v>2284.0</v>
      </c>
      <c r="E1040" s="5">
        <f t="shared" si="1"/>
        <v>42.7137697</v>
      </c>
      <c r="F1040" s="7">
        <f t="shared" si="2"/>
        <v>0.116385544</v>
      </c>
      <c r="G1040" s="5">
        <f t="shared" si="3"/>
        <v>4.971265324</v>
      </c>
      <c r="H1040" s="7">
        <f t="shared" si="4"/>
        <v>0.116385544</v>
      </c>
      <c r="I1040" s="2" t="str">
        <f t="shared" si="5"/>
        <v>2016-11</v>
      </c>
      <c r="J1040" s="2">
        <f t="shared" si="6"/>
        <v>2016</v>
      </c>
      <c r="K1040" s="2">
        <f t="shared" si="7"/>
        <v>4</v>
      </c>
      <c r="L1040" s="2" t="str">
        <f t="shared" si="8"/>
        <v>Wed</v>
      </c>
    </row>
    <row r="1041" ht="15.0" customHeight="1">
      <c r="A1041" s="4">
        <v>42677.0</v>
      </c>
      <c r="B1041" s="2">
        <v>97039.01</v>
      </c>
      <c r="C1041" s="2">
        <v>89413.42</v>
      </c>
      <c r="D1041" s="2">
        <v>2266.0</v>
      </c>
      <c r="E1041" s="5">
        <f t="shared" si="1"/>
        <v>42.82392321</v>
      </c>
      <c r="F1041" s="7">
        <f t="shared" si="2"/>
        <v>0.07858272668</v>
      </c>
      <c r="G1041" s="5">
        <f t="shared" si="3"/>
        <v>3.365220653</v>
      </c>
      <c r="H1041" s="7">
        <f t="shared" si="4"/>
        <v>0.07858272668</v>
      </c>
      <c r="I1041" s="2" t="str">
        <f t="shared" si="5"/>
        <v>2016-11</v>
      </c>
      <c r="J1041" s="2">
        <f t="shared" si="6"/>
        <v>2016</v>
      </c>
      <c r="K1041" s="2">
        <f t="shared" si="7"/>
        <v>5</v>
      </c>
      <c r="L1041" s="2" t="str">
        <f t="shared" si="8"/>
        <v>Thu</v>
      </c>
    </row>
    <row r="1042" ht="15.0" customHeight="1">
      <c r="A1042" s="4">
        <v>42678.0</v>
      </c>
      <c r="B1042" s="2">
        <v>168349.27</v>
      </c>
      <c r="C1042" s="2">
        <v>156675.59</v>
      </c>
      <c r="D1042" s="2">
        <v>3938.0</v>
      </c>
      <c r="E1042" s="5">
        <f t="shared" si="1"/>
        <v>42.74994159</v>
      </c>
      <c r="F1042" s="7">
        <f t="shared" si="2"/>
        <v>0.06934202922</v>
      </c>
      <c r="G1042" s="5">
        <f t="shared" si="3"/>
        <v>2.964367699</v>
      </c>
      <c r="H1042" s="7">
        <f t="shared" si="4"/>
        <v>0.06934202922</v>
      </c>
      <c r="I1042" s="2" t="str">
        <f t="shared" si="5"/>
        <v>2016-11</v>
      </c>
      <c r="J1042" s="2">
        <f t="shared" si="6"/>
        <v>2016</v>
      </c>
      <c r="K1042" s="2">
        <f t="shared" si="7"/>
        <v>6</v>
      </c>
      <c r="L1042" s="2" t="str">
        <f t="shared" si="8"/>
        <v>Fri</v>
      </c>
    </row>
    <row r="1043" ht="15.0" customHeight="1">
      <c r="A1043" s="4">
        <v>42679.0</v>
      </c>
      <c r="B1043" s="2">
        <v>202017.42</v>
      </c>
      <c r="C1043" s="2">
        <v>189394.69</v>
      </c>
      <c r="D1043" s="2">
        <v>4720.0</v>
      </c>
      <c r="E1043" s="5">
        <f t="shared" si="1"/>
        <v>42.80030085</v>
      </c>
      <c r="F1043" s="7">
        <f t="shared" si="2"/>
        <v>0.06248337396</v>
      </c>
      <c r="G1043" s="5">
        <f t="shared" si="3"/>
        <v>2.674307203</v>
      </c>
      <c r="H1043" s="7">
        <f t="shared" si="4"/>
        <v>0.06248337396</v>
      </c>
      <c r="I1043" s="2" t="str">
        <f t="shared" si="5"/>
        <v>2016-11</v>
      </c>
      <c r="J1043" s="2">
        <f t="shared" si="6"/>
        <v>2016</v>
      </c>
      <c r="K1043" s="2">
        <f t="shared" si="7"/>
        <v>7</v>
      </c>
      <c r="L1043" s="2" t="str">
        <f t="shared" si="8"/>
        <v>Sat</v>
      </c>
    </row>
    <row r="1044" ht="15.0" customHeight="1">
      <c r="A1044" s="4">
        <v>42680.0</v>
      </c>
      <c r="B1044" s="2">
        <v>108459.0</v>
      </c>
      <c r="C1044" s="2">
        <v>102250.17</v>
      </c>
      <c r="D1044" s="2">
        <v>2537.0</v>
      </c>
      <c r="E1044" s="5">
        <f t="shared" si="1"/>
        <v>42.75088687</v>
      </c>
      <c r="F1044" s="7">
        <f t="shared" si="2"/>
        <v>0.05724587171</v>
      </c>
      <c r="G1044" s="5">
        <f t="shared" si="3"/>
        <v>2.447311786</v>
      </c>
      <c r="H1044" s="7">
        <f t="shared" si="4"/>
        <v>0.05724587171</v>
      </c>
      <c r="I1044" s="2" t="str">
        <f t="shared" si="5"/>
        <v>2016-11</v>
      </c>
      <c r="J1044" s="2">
        <f t="shared" si="6"/>
        <v>2016</v>
      </c>
      <c r="K1044" s="2">
        <f t="shared" si="7"/>
        <v>1</v>
      </c>
      <c r="L1044" s="2" t="str">
        <f t="shared" si="8"/>
        <v>Sun</v>
      </c>
    </row>
    <row r="1045" ht="15.0" customHeight="1">
      <c r="A1045" s="4">
        <v>42681.0</v>
      </c>
      <c r="B1045" s="2">
        <v>112536.38</v>
      </c>
      <c r="C1045" s="2">
        <v>105978.48</v>
      </c>
      <c r="D1045" s="2">
        <v>2621.0</v>
      </c>
      <c r="E1045" s="5">
        <f t="shared" si="1"/>
        <v>42.93642884</v>
      </c>
      <c r="F1045" s="7">
        <f t="shared" si="2"/>
        <v>0.05827360006</v>
      </c>
      <c r="G1045" s="5">
        <f t="shared" si="3"/>
        <v>2.502060282</v>
      </c>
      <c r="H1045" s="7">
        <f t="shared" si="4"/>
        <v>0.05827360006</v>
      </c>
      <c r="I1045" s="2" t="str">
        <f t="shared" si="5"/>
        <v>2016-11</v>
      </c>
      <c r="J1045" s="2">
        <f t="shared" si="6"/>
        <v>2016</v>
      </c>
      <c r="K1045" s="2">
        <f t="shared" si="7"/>
        <v>2</v>
      </c>
      <c r="L1045" s="2" t="str">
        <f t="shared" si="8"/>
        <v>Mon</v>
      </c>
    </row>
    <row r="1046" ht="15.0" customHeight="1">
      <c r="A1046" s="4">
        <v>42682.0</v>
      </c>
      <c r="B1046" s="2">
        <v>100479.93</v>
      </c>
      <c r="C1046" s="2">
        <v>94692.48</v>
      </c>
      <c r="D1046" s="2">
        <v>2341.0</v>
      </c>
      <c r="E1046" s="5">
        <f t="shared" si="1"/>
        <v>42.92179838</v>
      </c>
      <c r="F1046" s="7">
        <f t="shared" si="2"/>
        <v>0.05759806958</v>
      </c>
      <c r="G1046" s="5">
        <f t="shared" si="3"/>
        <v>2.47221273</v>
      </c>
      <c r="H1046" s="7">
        <f t="shared" si="4"/>
        <v>0.05759806958</v>
      </c>
      <c r="I1046" s="2" t="str">
        <f t="shared" si="5"/>
        <v>2016-11</v>
      </c>
      <c r="J1046" s="2">
        <f t="shared" si="6"/>
        <v>2016</v>
      </c>
      <c r="K1046" s="2">
        <f t="shared" si="7"/>
        <v>3</v>
      </c>
      <c r="L1046" s="2" t="str">
        <f t="shared" si="8"/>
        <v>Tue</v>
      </c>
    </row>
    <row r="1047" ht="15.0" customHeight="1">
      <c r="A1047" s="4">
        <v>42683.0</v>
      </c>
      <c r="B1047" s="2">
        <v>81649.69</v>
      </c>
      <c r="C1047" s="2">
        <v>77081.66</v>
      </c>
      <c r="D1047" s="2">
        <v>1901.0</v>
      </c>
      <c r="E1047" s="5">
        <f t="shared" si="1"/>
        <v>42.95091531</v>
      </c>
      <c r="F1047" s="7">
        <f t="shared" si="2"/>
        <v>0.05594669129</v>
      </c>
      <c r="G1047" s="5">
        <f t="shared" si="3"/>
        <v>2.402961599</v>
      </c>
      <c r="H1047" s="7">
        <f t="shared" si="4"/>
        <v>0.05594669129</v>
      </c>
      <c r="I1047" s="2" t="str">
        <f t="shared" si="5"/>
        <v>2016-11</v>
      </c>
      <c r="J1047" s="2">
        <f t="shared" si="6"/>
        <v>2016</v>
      </c>
      <c r="K1047" s="2">
        <f t="shared" si="7"/>
        <v>4</v>
      </c>
      <c r="L1047" s="2" t="str">
        <f t="shared" si="8"/>
        <v>Wed</v>
      </c>
    </row>
    <row r="1048" ht="15.0" customHeight="1">
      <c r="A1048" s="4">
        <v>42684.0</v>
      </c>
      <c r="B1048" s="2">
        <v>71529.16</v>
      </c>
      <c r="C1048" s="2">
        <v>67551.25</v>
      </c>
      <c r="D1048" s="2">
        <v>1666.0</v>
      </c>
      <c r="E1048" s="5">
        <f t="shared" si="1"/>
        <v>42.93466987</v>
      </c>
      <c r="F1048" s="7">
        <f t="shared" si="2"/>
        <v>0.05561242436</v>
      </c>
      <c r="G1048" s="5">
        <f t="shared" si="3"/>
        <v>2.38770108</v>
      </c>
      <c r="H1048" s="7">
        <f t="shared" si="4"/>
        <v>0.05561242436</v>
      </c>
      <c r="I1048" s="2" t="str">
        <f t="shared" si="5"/>
        <v>2016-11</v>
      </c>
      <c r="J1048" s="2">
        <f t="shared" si="6"/>
        <v>2016</v>
      </c>
      <c r="K1048" s="2">
        <f t="shared" si="7"/>
        <v>5</v>
      </c>
      <c r="L1048" s="2" t="str">
        <f t="shared" si="8"/>
        <v>Thu</v>
      </c>
    </row>
    <row r="1049" ht="15.0" customHeight="1">
      <c r="A1049" s="4">
        <v>42685.0</v>
      </c>
      <c r="B1049" s="2">
        <v>160938.6</v>
      </c>
      <c r="C1049" s="2">
        <v>152555.42</v>
      </c>
      <c r="D1049" s="2">
        <v>3748.0</v>
      </c>
      <c r="E1049" s="5">
        <f t="shared" si="1"/>
        <v>42.93986126</v>
      </c>
      <c r="F1049" s="7">
        <f t="shared" si="2"/>
        <v>0.05208930611</v>
      </c>
      <c r="G1049" s="5">
        <f t="shared" si="3"/>
        <v>2.236707577</v>
      </c>
      <c r="H1049" s="7">
        <f t="shared" si="4"/>
        <v>0.05208930611</v>
      </c>
      <c r="I1049" s="2" t="str">
        <f t="shared" si="5"/>
        <v>2016-11</v>
      </c>
      <c r="J1049" s="2">
        <f t="shared" si="6"/>
        <v>2016</v>
      </c>
      <c r="K1049" s="2">
        <f t="shared" si="7"/>
        <v>6</v>
      </c>
      <c r="L1049" s="2" t="str">
        <f t="shared" si="8"/>
        <v>Fri</v>
      </c>
    </row>
    <row r="1050" ht="15.0" customHeight="1">
      <c r="A1050" s="4">
        <v>42686.0</v>
      </c>
      <c r="B1050" s="2">
        <v>164998.84</v>
      </c>
      <c r="C1050" s="2">
        <v>156263.15</v>
      </c>
      <c r="D1050" s="2">
        <v>3843.0</v>
      </c>
      <c r="E1050" s="5">
        <f t="shared" si="1"/>
        <v>42.93490502</v>
      </c>
      <c r="F1050" s="7">
        <f t="shared" si="2"/>
        <v>0.05294394797</v>
      </c>
      <c r="G1050" s="5">
        <f t="shared" si="3"/>
        <v>2.273143378</v>
      </c>
      <c r="H1050" s="7">
        <f t="shared" si="4"/>
        <v>0.05294394797</v>
      </c>
      <c r="I1050" s="2" t="str">
        <f t="shared" si="5"/>
        <v>2016-11</v>
      </c>
      <c r="J1050" s="2">
        <f t="shared" si="6"/>
        <v>2016</v>
      </c>
      <c r="K1050" s="2">
        <f t="shared" si="7"/>
        <v>7</v>
      </c>
      <c r="L1050" s="2" t="str">
        <f t="shared" si="8"/>
        <v>Sat</v>
      </c>
    </row>
    <row r="1051" ht="15.0" customHeight="1">
      <c r="A1051" s="4">
        <v>42687.0</v>
      </c>
      <c r="B1051" s="2">
        <v>97946.78</v>
      </c>
      <c r="C1051" s="2">
        <v>93112.61</v>
      </c>
      <c r="D1051" s="2">
        <v>2281.0</v>
      </c>
      <c r="E1051" s="5">
        <f t="shared" si="1"/>
        <v>42.94028058</v>
      </c>
      <c r="F1051" s="7">
        <f t="shared" si="2"/>
        <v>0.04935506813</v>
      </c>
      <c r="G1051" s="5">
        <f t="shared" si="3"/>
        <v>2.119320473</v>
      </c>
      <c r="H1051" s="7">
        <f t="shared" si="4"/>
        <v>0.04935506813</v>
      </c>
      <c r="I1051" s="2" t="str">
        <f t="shared" si="5"/>
        <v>2016-11</v>
      </c>
      <c r="J1051" s="2">
        <f t="shared" si="6"/>
        <v>2016</v>
      </c>
      <c r="K1051" s="2">
        <f t="shared" si="7"/>
        <v>1</v>
      </c>
      <c r="L1051" s="2" t="str">
        <f t="shared" si="8"/>
        <v>Sun</v>
      </c>
    </row>
    <row r="1052" ht="15.0" customHeight="1">
      <c r="A1052" s="4">
        <v>42688.0</v>
      </c>
      <c r="B1052" s="2">
        <v>87834.25</v>
      </c>
      <c r="C1052" s="2">
        <v>83068.27</v>
      </c>
      <c r="D1052" s="2">
        <v>2046.0</v>
      </c>
      <c r="E1052" s="5">
        <f t="shared" si="1"/>
        <v>42.92974096</v>
      </c>
      <c r="F1052" s="7">
        <f t="shared" si="2"/>
        <v>0.05426106559</v>
      </c>
      <c r="G1052" s="5">
        <f t="shared" si="3"/>
        <v>2.32941349</v>
      </c>
      <c r="H1052" s="7">
        <f t="shared" si="4"/>
        <v>0.05426106559</v>
      </c>
      <c r="I1052" s="2" t="str">
        <f t="shared" si="5"/>
        <v>2016-11</v>
      </c>
      <c r="J1052" s="2">
        <f t="shared" si="6"/>
        <v>2016</v>
      </c>
      <c r="K1052" s="2">
        <f t="shared" si="7"/>
        <v>2</v>
      </c>
      <c r="L1052" s="2" t="str">
        <f t="shared" si="8"/>
        <v>Mon</v>
      </c>
    </row>
    <row r="1053" ht="15.0" customHeight="1">
      <c r="A1053" s="4">
        <v>42689.0</v>
      </c>
      <c r="B1053" s="2">
        <v>95509.13</v>
      </c>
      <c r="C1053" s="2">
        <v>88104.2</v>
      </c>
      <c r="D1053" s="2">
        <v>2181.0</v>
      </c>
      <c r="E1053" s="5">
        <f t="shared" si="1"/>
        <v>43.79143971</v>
      </c>
      <c r="F1053" s="7">
        <f t="shared" si="2"/>
        <v>0.07753112189</v>
      </c>
      <c r="G1053" s="5">
        <f t="shared" si="3"/>
        <v>3.39519945</v>
      </c>
      <c r="H1053" s="7">
        <f t="shared" si="4"/>
        <v>0.07753112189</v>
      </c>
      <c r="I1053" s="2" t="str">
        <f t="shared" si="5"/>
        <v>2016-11</v>
      </c>
      <c r="J1053" s="2">
        <f t="shared" si="6"/>
        <v>2016</v>
      </c>
      <c r="K1053" s="2">
        <f t="shared" si="7"/>
        <v>3</v>
      </c>
      <c r="L1053" s="2" t="str">
        <f t="shared" si="8"/>
        <v>Tue</v>
      </c>
    </row>
    <row r="1054" ht="15.0" customHeight="1">
      <c r="A1054" s="4">
        <v>42690.0</v>
      </c>
      <c r="B1054" s="2">
        <v>77229.97</v>
      </c>
      <c r="C1054" s="2">
        <v>71428.87</v>
      </c>
      <c r="D1054" s="2">
        <v>1763.0</v>
      </c>
      <c r="E1054" s="5">
        <f t="shared" si="1"/>
        <v>43.80599546</v>
      </c>
      <c r="F1054" s="7">
        <f t="shared" si="2"/>
        <v>0.07511462195</v>
      </c>
      <c r="G1054" s="5">
        <f t="shared" si="3"/>
        <v>3.290470788</v>
      </c>
      <c r="H1054" s="7">
        <f t="shared" si="4"/>
        <v>0.07511462195</v>
      </c>
      <c r="I1054" s="2" t="str">
        <f t="shared" si="5"/>
        <v>2016-11</v>
      </c>
      <c r="J1054" s="2">
        <f t="shared" si="6"/>
        <v>2016</v>
      </c>
      <c r="K1054" s="2">
        <f t="shared" si="7"/>
        <v>4</v>
      </c>
      <c r="L1054" s="2" t="str">
        <f t="shared" si="8"/>
        <v>Wed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3.57"/>
    <col customWidth="1" min="4" max="4" width="21.71"/>
    <col customWidth="1" min="5" max="6" width="18.0"/>
    <col customWidth="1" min="7" max="26" width="8.71"/>
  </cols>
  <sheetData>
    <row r="1" ht="15.0" customHeight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</row>
    <row r="2" ht="15.0" customHeight="1">
      <c r="A2" s="2" t="s">
        <v>16</v>
      </c>
      <c r="B2" s="6">
        <f>SUMIFS('Daily Metrics'!$B$2:$B$1054,'Daily Metrics'!$I$2:$I$1054,A2)</f>
        <v>524283.45</v>
      </c>
      <c r="C2" s="6">
        <f>SUMIFS('Daily Metrics'!$C$2:$C$1054,'Daily Metrics'!$I$2:$I$1054,A2)</f>
        <v>537065.74</v>
      </c>
      <c r="D2" s="6">
        <f t="shared" ref="D2:D37" si="1">B2-C2</f>
        <v>-12782.29</v>
      </c>
      <c r="E2" s="7">
        <f t="shared" ref="E2:E37" si="2">D2/B2</f>
        <v>-0.02438049494</v>
      </c>
      <c r="F2" s="6">
        <f>SUMIFS('Daily Metrics'!$D$2:$D$1054,'Daily Metrics'!$I$2:$I$1054,A2)</f>
        <v>16095</v>
      </c>
    </row>
    <row r="3" ht="15.0" customHeight="1">
      <c r="A3" s="2" t="s">
        <v>21</v>
      </c>
      <c r="B3" s="6">
        <f>SUMIFS('Daily Metrics'!$B$2:$B$1054,'Daily Metrics'!$I$2:$I$1054,A3)</f>
        <v>4008180.46</v>
      </c>
      <c r="C3" s="6">
        <f>SUMIFS('Daily Metrics'!$C$2:$C$1054,'Daily Metrics'!$I$2:$I$1054,A3)</f>
        <v>3995719.87</v>
      </c>
      <c r="D3" s="6">
        <f t="shared" si="1"/>
        <v>12460.59</v>
      </c>
      <c r="E3" s="7">
        <f t="shared" si="2"/>
        <v>0.003108789668</v>
      </c>
      <c r="F3" s="6">
        <f>SUMIFS('Daily Metrics'!$D$2:$D$1054,'Daily Metrics'!$I$2:$I$1054,A3)</f>
        <v>119965</v>
      </c>
    </row>
    <row r="4" ht="15.0" customHeight="1">
      <c r="A4" s="2" t="s">
        <v>22</v>
      </c>
      <c r="B4" s="6">
        <f>SUMIFS('Daily Metrics'!$B$2:$B$1054,'Daily Metrics'!$I$2:$I$1054,A4)</f>
        <v>5780487.18</v>
      </c>
      <c r="C4" s="6">
        <f>SUMIFS('Daily Metrics'!$C$2:$C$1054,'Daily Metrics'!$I$2:$I$1054,A4)</f>
        <v>5913478.54</v>
      </c>
      <c r="D4" s="6">
        <f t="shared" si="1"/>
        <v>-132991.36</v>
      </c>
      <c r="E4" s="7">
        <f t="shared" si="2"/>
        <v>-0.02300694662</v>
      </c>
      <c r="F4" s="6">
        <f>SUMIFS('Daily Metrics'!$D$2:$D$1054,'Daily Metrics'!$I$2:$I$1054,A4)</f>
        <v>178035</v>
      </c>
    </row>
    <row r="5" ht="15.0" customHeight="1">
      <c r="A5" s="2" t="s">
        <v>23</v>
      </c>
      <c r="B5" s="6">
        <f>SUMIFS('Daily Metrics'!$B$2:$B$1054,'Daily Metrics'!$I$2:$I$1054,A5)</f>
        <v>8279517.15</v>
      </c>
      <c r="C5" s="6">
        <f>SUMIFS('Daily Metrics'!$C$2:$C$1054,'Daily Metrics'!$I$2:$I$1054,A5)</f>
        <v>8415654.02</v>
      </c>
      <c r="D5" s="6">
        <f t="shared" si="1"/>
        <v>-136136.87</v>
      </c>
      <c r="E5" s="7">
        <f t="shared" si="2"/>
        <v>-0.01644260982</v>
      </c>
      <c r="F5" s="6">
        <f>SUMIFS('Daily Metrics'!$D$2:$D$1054,'Daily Metrics'!$I$2:$I$1054,A5)</f>
        <v>252836</v>
      </c>
    </row>
    <row r="6" ht="15.0" customHeight="1">
      <c r="A6" s="2" t="s">
        <v>24</v>
      </c>
      <c r="B6" s="6">
        <f>SUMIFS('Daily Metrics'!$B$2:$B$1054,'Daily Metrics'!$I$2:$I$1054,A6)</f>
        <v>6435743.3</v>
      </c>
      <c r="C6" s="6">
        <f>SUMIFS('Daily Metrics'!$C$2:$C$1054,'Daily Metrics'!$I$2:$I$1054,A6)</f>
        <v>6479643.6</v>
      </c>
      <c r="D6" s="6">
        <f t="shared" si="1"/>
        <v>-43900.3</v>
      </c>
      <c r="E6" s="7">
        <f t="shared" si="2"/>
        <v>-0.006821325518</v>
      </c>
      <c r="F6" s="6">
        <f>SUMIFS('Daily Metrics'!$D$2:$D$1054,'Daily Metrics'!$I$2:$I$1054,A6)</f>
        <v>190091</v>
      </c>
    </row>
    <row r="7" ht="15.0" customHeight="1">
      <c r="A7" s="2" t="s">
        <v>25</v>
      </c>
      <c r="B7" s="6">
        <f>SUMIFS('Daily Metrics'!$B$2:$B$1054,'Daily Metrics'!$I$2:$I$1054,A7)</f>
        <v>7694906.16</v>
      </c>
      <c r="C7" s="6">
        <f>SUMIFS('Daily Metrics'!$C$2:$C$1054,'Daily Metrics'!$I$2:$I$1054,A7)</f>
        <v>8017240.44</v>
      </c>
      <c r="D7" s="6">
        <f t="shared" si="1"/>
        <v>-322334.28</v>
      </c>
      <c r="E7" s="7">
        <f t="shared" si="2"/>
        <v>-0.04188930616</v>
      </c>
      <c r="F7" s="6">
        <f>SUMIFS('Daily Metrics'!$D$2:$D$1054,'Daily Metrics'!$I$2:$I$1054,A7)</f>
        <v>235793</v>
      </c>
    </row>
    <row r="8" ht="15.0" customHeight="1">
      <c r="A8" s="2" t="s">
        <v>26</v>
      </c>
      <c r="B8" s="6">
        <f>SUMIFS('Daily Metrics'!$B$2:$B$1054,'Daily Metrics'!$I$2:$I$1054,A8)</f>
        <v>6456943.64</v>
      </c>
      <c r="C8" s="6">
        <f>SUMIFS('Daily Metrics'!$C$2:$C$1054,'Daily Metrics'!$I$2:$I$1054,A8)</f>
        <v>6645843.65</v>
      </c>
      <c r="D8" s="6">
        <f t="shared" si="1"/>
        <v>-188900.01</v>
      </c>
      <c r="E8" s="7">
        <f t="shared" si="2"/>
        <v>-0.02925532892</v>
      </c>
      <c r="F8" s="6">
        <f>SUMIFS('Daily Metrics'!$D$2:$D$1054,'Daily Metrics'!$I$2:$I$1054,A8)</f>
        <v>198857</v>
      </c>
    </row>
    <row r="9" ht="15.0" customHeight="1">
      <c r="A9" s="2" t="s">
        <v>27</v>
      </c>
      <c r="B9" s="6">
        <f>SUMIFS('Daily Metrics'!$B$2:$B$1054,'Daily Metrics'!$I$2:$I$1054,A9)</f>
        <v>4933710.82</v>
      </c>
      <c r="C9" s="6">
        <f>SUMIFS('Daily Metrics'!$C$2:$C$1054,'Daily Metrics'!$I$2:$I$1054,A9)</f>
        <v>5004894.87</v>
      </c>
      <c r="D9" s="6">
        <f t="shared" si="1"/>
        <v>-71184.05</v>
      </c>
      <c r="E9" s="7">
        <f t="shared" si="2"/>
        <v>-0.01442809532</v>
      </c>
      <c r="F9" s="6">
        <f>SUMIFS('Daily Metrics'!$D$2:$D$1054,'Daily Metrics'!$I$2:$I$1054,A9)</f>
        <v>147449</v>
      </c>
    </row>
    <row r="10" ht="15.0" customHeight="1">
      <c r="A10" s="2" t="s">
        <v>28</v>
      </c>
      <c r="B10" s="6">
        <f>SUMIFS('Daily Metrics'!$B$2:$B$1054,'Daily Metrics'!$I$2:$I$1054,A10)</f>
        <v>10010378.25</v>
      </c>
      <c r="C10" s="6">
        <f>SUMIFS('Daily Metrics'!$C$2:$C$1054,'Daily Metrics'!$I$2:$I$1054,A10)</f>
        <v>10524432.43</v>
      </c>
      <c r="D10" s="6">
        <f t="shared" si="1"/>
        <v>-514054.18</v>
      </c>
      <c r="E10" s="7">
        <f t="shared" si="2"/>
        <v>-0.05135212348</v>
      </c>
      <c r="F10" s="6">
        <f>SUMIFS('Daily Metrics'!$D$2:$D$1054,'Daily Metrics'!$I$2:$I$1054,A10)</f>
        <v>310572</v>
      </c>
    </row>
    <row r="11" ht="15.0" customHeight="1">
      <c r="A11" s="2" t="s">
        <v>29</v>
      </c>
      <c r="B11" s="6">
        <f>SUMIFS('Daily Metrics'!$B$2:$B$1054,'Daily Metrics'!$I$2:$I$1054,A11)</f>
        <v>7643452.67</v>
      </c>
      <c r="C11" s="6">
        <f>SUMIFS('Daily Metrics'!$C$2:$C$1054,'Daily Metrics'!$I$2:$I$1054,A11)</f>
        <v>8193560.02</v>
      </c>
      <c r="D11" s="6">
        <f t="shared" si="1"/>
        <v>-550107.35</v>
      </c>
      <c r="E11" s="7">
        <f t="shared" si="2"/>
        <v>-0.07197105467</v>
      </c>
      <c r="F11" s="6">
        <f>SUMIFS('Daily Metrics'!$D$2:$D$1054,'Daily Metrics'!$I$2:$I$1054,A11)</f>
        <v>237742</v>
      </c>
    </row>
    <row r="12" ht="15.0" customHeight="1">
      <c r="A12" s="2" t="s">
        <v>30</v>
      </c>
      <c r="B12" s="6">
        <f>SUMIFS('Daily Metrics'!$B$2:$B$1054,'Daily Metrics'!$I$2:$I$1054,A12)</f>
        <v>5924683.38</v>
      </c>
      <c r="C12" s="6">
        <f>SUMIFS('Daily Metrics'!$C$2:$C$1054,'Daily Metrics'!$I$2:$I$1054,A12)</f>
        <v>6038461.3</v>
      </c>
      <c r="D12" s="6">
        <f t="shared" si="1"/>
        <v>-113777.92</v>
      </c>
      <c r="E12" s="7">
        <f t="shared" si="2"/>
        <v>-0.0192040507</v>
      </c>
      <c r="F12" s="6">
        <f>SUMIFS('Daily Metrics'!$D$2:$D$1054,'Daily Metrics'!$I$2:$I$1054,A12)</f>
        <v>171709</v>
      </c>
    </row>
    <row r="13" ht="15.0" customHeight="1">
      <c r="A13" s="2" t="s">
        <v>31</v>
      </c>
      <c r="B13" s="6">
        <f>SUMIFS('Daily Metrics'!$B$2:$B$1054,'Daily Metrics'!$I$2:$I$1054,A13)</f>
        <v>2631353.33</v>
      </c>
      <c r="C13" s="6">
        <f>SUMIFS('Daily Metrics'!$C$2:$C$1054,'Daily Metrics'!$I$2:$I$1054,A13)</f>
        <v>2517124.83</v>
      </c>
      <c r="D13" s="6">
        <f t="shared" si="1"/>
        <v>114228.5</v>
      </c>
      <c r="E13" s="7">
        <f t="shared" si="2"/>
        <v>0.04341055179</v>
      </c>
      <c r="F13" s="6">
        <f>SUMIFS('Daily Metrics'!$D$2:$D$1054,'Daily Metrics'!$I$2:$I$1054,A13)</f>
        <v>68569</v>
      </c>
    </row>
    <row r="14" ht="15.0" customHeight="1">
      <c r="A14" s="2" t="s">
        <v>32</v>
      </c>
      <c r="B14" s="6">
        <f>SUMIFS('Daily Metrics'!$B$2:$B$1054,'Daily Metrics'!$I$2:$I$1054,A14)</f>
        <v>5615619.3</v>
      </c>
      <c r="C14" s="6">
        <f>SUMIFS('Daily Metrics'!$C$2:$C$1054,'Daily Metrics'!$I$2:$I$1054,A14)</f>
        <v>5934796.06</v>
      </c>
      <c r="D14" s="6">
        <f t="shared" si="1"/>
        <v>-319176.76</v>
      </c>
      <c r="E14" s="7">
        <f t="shared" si="2"/>
        <v>-0.05683732158</v>
      </c>
      <c r="F14" s="6">
        <f>SUMIFS('Daily Metrics'!$D$2:$D$1054,'Daily Metrics'!$I$2:$I$1054,A14)</f>
        <v>142612</v>
      </c>
    </row>
    <row r="15" ht="15.0" customHeight="1">
      <c r="A15" s="2" t="s">
        <v>33</v>
      </c>
      <c r="B15" s="6">
        <f>SUMIFS('Daily Metrics'!$B$2:$B$1054,'Daily Metrics'!$I$2:$I$1054,A15)</f>
        <v>3696191.51</v>
      </c>
      <c r="C15" s="6">
        <f>SUMIFS('Daily Metrics'!$C$2:$C$1054,'Daily Metrics'!$I$2:$I$1054,A15)</f>
        <v>3851260.49</v>
      </c>
      <c r="D15" s="6">
        <f t="shared" si="1"/>
        <v>-155068.98</v>
      </c>
      <c r="E15" s="7">
        <f t="shared" si="2"/>
        <v>-0.04195371901</v>
      </c>
      <c r="F15" s="6">
        <f>SUMIFS('Daily Metrics'!$D$2:$D$1054,'Daily Metrics'!$I$2:$I$1054,A15)</f>
        <v>91740</v>
      </c>
    </row>
    <row r="16" ht="15.0" customHeight="1">
      <c r="A16" s="2" t="s">
        <v>34</v>
      </c>
      <c r="B16" s="6">
        <f>SUMIFS('Daily Metrics'!$B$2:$B$1054,'Daily Metrics'!$I$2:$I$1054,A16)</f>
        <v>4901504.89</v>
      </c>
      <c r="C16" s="6">
        <f>SUMIFS('Daily Metrics'!$C$2:$C$1054,'Daily Metrics'!$I$2:$I$1054,A16)</f>
        <v>5151756.28</v>
      </c>
      <c r="D16" s="6">
        <f t="shared" si="1"/>
        <v>-250251.39</v>
      </c>
      <c r="E16" s="7">
        <f t="shared" si="2"/>
        <v>-0.0510560319</v>
      </c>
      <c r="F16" s="6">
        <f>SUMIFS('Daily Metrics'!$D$2:$D$1054,'Daily Metrics'!$I$2:$I$1054,A16)</f>
        <v>127753</v>
      </c>
    </row>
    <row r="17" ht="15.0" customHeight="1">
      <c r="A17" s="2" t="s">
        <v>35</v>
      </c>
      <c r="B17" s="6">
        <f>SUMIFS('Daily Metrics'!$B$2:$B$1054,'Daily Metrics'!$I$2:$I$1054,A17)</f>
        <v>5269353.15</v>
      </c>
      <c r="C17" s="6">
        <f>SUMIFS('Daily Metrics'!$C$2:$C$1054,'Daily Metrics'!$I$2:$I$1054,A17)</f>
        <v>5599630.72</v>
      </c>
      <c r="D17" s="6">
        <f t="shared" si="1"/>
        <v>-330277.57</v>
      </c>
      <c r="E17" s="7">
        <f t="shared" si="2"/>
        <v>-0.06267895899</v>
      </c>
      <c r="F17" s="6">
        <f>SUMIFS('Daily Metrics'!$D$2:$D$1054,'Daily Metrics'!$I$2:$I$1054,A17)</f>
        <v>136673</v>
      </c>
    </row>
    <row r="18" ht="15.0" customHeight="1">
      <c r="A18" s="2" t="s">
        <v>36</v>
      </c>
      <c r="B18" s="6">
        <f>SUMIFS('Daily Metrics'!$B$2:$B$1054,'Daily Metrics'!$I$2:$I$1054,A18)</f>
        <v>5963993.98</v>
      </c>
      <c r="C18" s="6">
        <f>SUMIFS('Daily Metrics'!$C$2:$C$1054,'Daily Metrics'!$I$2:$I$1054,A18)</f>
        <v>6286673.69</v>
      </c>
      <c r="D18" s="6">
        <f t="shared" si="1"/>
        <v>-322679.71</v>
      </c>
      <c r="E18" s="7">
        <f t="shared" si="2"/>
        <v>-0.05410463375</v>
      </c>
      <c r="F18" s="6">
        <f>SUMIFS('Daily Metrics'!$D$2:$D$1054,'Daily Metrics'!$I$2:$I$1054,A18)</f>
        <v>153702</v>
      </c>
    </row>
    <row r="19" ht="15.0" customHeight="1">
      <c r="A19" s="2" t="s">
        <v>37</v>
      </c>
      <c r="B19" s="6">
        <f>SUMIFS('Daily Metrics'!$B$2:$B$1054,'Daily Metrics'!$I$2:$I$1054,A19)</f>
        <v>8384367.22</v>
      </c>
      <c r="C19" s="6">
        <f>SUMIFS('Daily Metrics'!$C$2:$C$1054,'Daily Metrics'!$I$2:$I$1054,A19)</f>
        <v>8973701.91</v>
      </c>
      <c r="D19" s="6">
        <f t="shared" si="1"/>
        <v>-589334.69</v>
      </c>
      <c r="E19" s="7">
        <f t="shared" si="2"/>
        <v>-0.07028970399</v>
      </c>
      <c r="F19" s="6">
        <f>SUMIFS('Daily Metrics'!$D$2:$D$1054,'Daily Metrics'!$I$2:$I$1054,A19)</f>
        <v>220775</v>
      </c>
    </row>
    <row r="20" ht="15.0" customHeight="1">
      <c r="A20" s="2" t="s">
        <v>38</v>
      </c>
      <c r="B20" s="6">
        <f>SUMIFS('Daily Metrics'!$B$2:$B$1054,'Daily Metrics'!$I$2:$I$1054,A20)</f>
        <v>5332108.33</v>
      </c>
      <c r="C20" s="6">
        <f>SUMIFS('Daily Metrics'!$C$2:$C$1054,'Daily Metrics'!$I$2:$I$1054,A20)</f>
        <v>5520925.35</v>
      </c>
      <c r="D20" s="6">
        <f t="shared" si="1"/>
        <v>-188817.02</v>
      </c>
      <c r="E20" s="7">
        <f t="shared" si="2"/>
        <v>-0.03541132481</v>
      </c>
      <c r="F20" s="6">
        <f>SUMIFS('Daily Metrics'!$D$2:$D$1054,'Daily Metrics'!$I$2:$I$1054,A20)</f>
        <v>136581</v>
      </c>
    </row>
    <row r="21" ht="15.0" customHeight="1">
      <c r="A21" s="2" t="s">
        <v>39</v>
      </c>
      <c r="B21" s="6">
        <f>SUMIFS('Daily Metrics'!$B$2:$B$1054,'Daily Metrics'!$I$2:$I$1054,A21)</f>
        <v>3677692.4</v>
      </c>
      <c r="C21" s="6">
        <f>SUMIFS('Daily Metrics'!$C$2:$C$1054,'Daily Metrics'!$I$2:$I$1054,A21)</f>
        <v>3829188.58</v>
      </c>
      <c r="D21" s="6">
        <f t="shared" si="1"/>
        <v>-151496.18</v>
      </c>
      <c r="E21" s="7">
        <f t="shared" si="2"/>
        <v>-0.04119327108</v>
      </c>
      <c r="F21" s="6">
        <f>SUMIFS('Daily Metrics'!$D$2:$D$1054,'Daily Metrics'!$I$2:$I$1054,A21)</f>
        <v>95600</v>
      </c>
    </row>
    <row r="22" ht="15.0" customHeight="1">
      <c r="A22" s="2" t="s">
        <v>40</v>
      </c>
      <c r="B22" s="6">
        <f>SUMIFS('Daily Metrics'!$B$2:$B$1054,'Daily Metrics'!$I$2:$I$1054,A22)</f>
        <v>3934668.4</v>
      </c>
      <c r="C22" s="6">
        <f>SUMIFS('Daily Metrics'!$C$2:$C$1054,'Daily Metrics'!$I$2:$I$1054,A22)</f>
        <v>4210927.36</v>
      </c>
      <c r="D22" s="6">
        <f t="shared" si="1"/>
        <v>-276258.96</v>
      </c>
      <c r="E22" s="7">
        <f t="shared" si="2"/>
        <v>-0.07021149737</v>
      </c>
      <c r="F22" s="6">
        <f>SUMIFS('Daily Metrics'!$D$2:$D$1054,'Daily Metrics'!$I$2:$I$1054,A22)</f>
        <v>108899</v>
      </c>
    </row>
    <row r="23" ht="15.0" customHeight="1">
      <c r="A23" s="2" t="s">
        <v>41</v>
      </c>
      <c r="B23" s="6">
        <f>SUMIFS('Daily Metrics'!$B$2:$B$1054,'Daily Metrics'!$I$2:$I$1054,A23)</f>
        <v>4669899.89</v>
      </c>
      <c r="C23" s="6">
        <f>SUMIFS('Daily Metrics'!$C$2:$C$1054,'Daily Metrics'!$I$2:$I$1054,A23)</f>
        <v>5024494.72</v>
      </c>
      <c r="D23" s="6">
        <f t="shared" si="1"/>
        <v>-354594.83</v>
      </c>
      <c r="E23" s="7">
        <f t="shared" si="2"/>
        <v>-0.07593199819</v>
      </c>
      <c r="F23" s="6">
        <f>SUMIFS('Daily Metrics'!$D$2:$D$1054,'Daily Metrics'!$I$2:$I$1054,A23)</f>
        <v>134837</v>
      </c>
    </row>
    <row r="24" ht="15.0" customHeight="1">
      <c r="A24" s="2" t="s">
        <v>42</v>
      </c>
      <c r="B24" s="6">
        <f>SUMIFS('Daily Metrics'!$B$2:$B$1054,'Daily Metrics'!$I$2:$I$1054,A24)</f>
        <v>4828975.06</v>
      </c>
      <c r="C24" s="6">
        <f>SUMIFS('Daily Metrics'!$C$2:$C$1054,'Daily Metrics'!$I$2:$I$1054,A24)</f>
        <v>5175494.09</v>
      </c>
      <c r="D24" s="6">
        <f t="shared" si="1"/>
        <v>-346519.03</v>
      </c>
      <c r="E24" s="7">
        <f t="shared" si="2"/>
        <v>-0.07175829771</v>
      </c>
      <c r="F24" s="6">
        <f>SUMIFS('Daily Metrics'!$D$2:$D$1054,'Daily Metrics'!$I$2:$I$1054,A24)</f>
        <v>135328</v>
      </c>
    </row>
    <row r="25" ht="15.0" customHeight="1">
      <c r="A25" s="2" t="s">
        <v>43</v>
      </c>
      <c r="B25" s="6">
        <f>SUMIFS('Daily Metrics'!$B$2:$B$1054,'Daily Metrics'!$I$2:$I$1054,A25)</f>
        <v>6538148.87</v>
      </c>
      <c r="C25" s="6">
        <f>SUMIFS('Daily Metrics'!$C$2:$C$1054,'Daily Metrics'!$I$2:$I$1054,A25)</f>
        <v>7138833.44</v>
      </c>
      <c r="D25" s="6">
        <f t="shared" si="1"/>
        <v>-600684.57</v>
      </c>
      <c r="E25" s="7">
        <f t="shared" si="2"/>
        <v>-0.09187379822</v>
      </c>
      <c r="F25" s="6">
        <f>SUMIFS('Daily Metrics'!$D$2:$D$1054,'Daily Metrics'!$I$2:$I$1054,A25)</f>
        <v>185868</v>
      </c>
    </row>
    <row r="26" ht="15.0" customHeight="1">
      <c r="A26" s="2" t="s">
        <v>44</v>
      </c>
      <c r="B26" s="6">
        <f>SUMIFS('Daily Metrics'!$B$2:$B$1054,'Daily Metrics'!$I$2:$I$1054,A26)</f>
        <v>6820689.66</v>
      </c>
      <c r="C26" s="6">
        <f>SUMIFS('Daily Metrics'!$C$2:$C$1054,'Daily Metrics'!$I$2:$I$1054,A26)</f>
        <v>7154317.33</v>
      </c>
      <c r="D26" s="6">
        <f t="shared" si="1"/>
        <v>-333627.67</v>
      </c>
      <c r="E26" s="7">
        <f t="shared" si="2"/>
        <v>-0.04891406685</v>
      </c>
      <c r="F26" s="6">
        <f>SUMIFS('Daily Metrics'!$D$2:$D$1054,'Daily Metrics'!$I$2:$I$1054,A26)</f>
        <v>187333</v>
      </c>
    </row>
    <row r="27" ht="15.0" customHeight="1">
      <c r="A27" s="2" t="s">
        <v>46</v>
      </c>
      <c r="B27" s="6">
        <f>SUMIFS('Daily Metrics'!$B$2:$B$1054,'Daily Metrics'!$I$2:$I$1054,A27)</f>
        <v>5403090.5</v>
      </c>
      <c r="C27" s="6">
        <f>SUMIFS('Daily Metrics'!$C$2:$C$1054,'Daily Metrics'!$I$2:$I$1054,A27)</f>
        <v>5657342.74</v>
      </c>
      <c r="D27" s="6">
        <f t="shared" si="1"/>
        <v>-254252.24</v>
      </c>
      <c r="E27" s="7">
        <f t="shared" si="2"/>
        <v>-0.04705681683</v>
      </c>
      <c r="F27" s="6">
        <f>SUMIFS('Daily Metrics'!$D$2:$D$1054,'Daily Metrics'!$I$2:$I$1054,A27)</f>
        <v>150561</v>
      </c>
    </row>
    <row r="28" ht="15.0" customHeight="1">
      <c r="A28" s="2" t="s">
        <v>48</v>
      </c>
      <c r="B28" s="6">
        <f>SUMIFS('Daily Metrics'!$B$2:$B$1054,'Daily Metrics'!$I$2:$I$1054,A28)</f>
        <v>4891882.31</v>
      </c>
      <c r="C28" s="6">
        <f>SUMIFS('Daily Metrics'!$C$2:$C$1054,'Daily Metrics'!$I$2:$I$1054,A28)</f>
        <v>4889303.65</v>
      </c>
      <c r="D28" s="6">
        <f t="shared" si="1"/>
        <v>2578.66</v>
      </c>
      <c r="E28" s="7">
        <f t="shared" si="2"/>
        <v>0.0005271304248</v>
      </c>
      <c r="F28" s="6">
        <f>SUMIFS('Daily Metrics'!$D$2:$D$1054,'Daily Metrics'!$I$2:$I$1054,A28)</f>
        <v>132990</v>
      </c>
    </row>
    <row r="29" ht="15.0" customHeight="1">
      <c r="A29" s="2" t="s">
        <v>49</v>
      </c>
      <c r="B29" s="6">
        <f>SUMIFS('Daily Metrics'!$B$2:$B$1054,'Daily Metrics'!$I$2:$I$1054,A29)</f>
        <v>2951855.99</v>
      </c>
      <c r="C29" s="6">
        <f>SUMIFS('Daily Metrics'!$C$2:$C$1054,'Daily Metrics'!$I$2:$I$1054,A29)</f>
        <v>2917801.52</v>
      </c>
      <c r="D29" s="6">
        <f t="shared" si="1"/>
        <v>34054.47</v>
      </c>
      <c r="E29" s="7">
        <f t="shared" si="2"/>
        <v>0.01153662987</v>
      </c>
      <c r="F29" s="6">
        <f>SUMIFS('Daily Metrics'!$D$2:$D$1054,'Daily Metrics'!$I$2:$I$1054,A29)</f>
        <v>74185</v>
      </c>
    </row>
    <row r="30" ht="15.0" customHeight="1">
      <c r="A30" s="2" t="s">
        <v>50</v>
      </c>
      <c r="B30" s="6">
        <f>SUMIFS('Daily Metrics'!$B$2:$B$1054,'Daily Metrics'!$I$2:$I$1054,A30)</f>
        <v>6656880.18</v>
      </c>
      <c r="C30" s="6">
        <f>SUMIFS('Daily Metrics'!$C$2:$C$1054,'Daily Metrics'!$I$2:$I$1054,A30)</f>
        <v>7127731.93</v>
      </c>
      <c r="D30" s="6">
        <f t="shared" si="1"/>
        <v>-470851.75</v>
      </c>
      <c r="E30" s="7">
        <f t="shared" si="2"/>
        <v>-0.07073159457</v>
      </c>
      <c r="F30" s="6">
        <f>SUMIFS('Daily Metrics'!$D$2:$D$1054,'Daily Metrics'!$I$2:$I$1054,A30)</f>
        <v>190235</v>
      </c>
    </row>
    <row r="31" ht="15.0" customHeight="1">
      <c r="A31" s="2" t="s">
        <v>51</v>
      </c>
      <c r="B31" s="6">
        <f>SUMIFS('Daily Metrics'!$B$2:$B$1054,'Daily Metrics'!$I$2:$I$1054,A31)</f>
        <v>5170231.84</v>
      </c>
      <c r="C31" s="6">
        <f>SUMIFS('Daily Metrics'!$C$2:$C$1054,'Daily Metrics'!$I$2:$I$1054,A31)</f>
        <v>5338394.63</v>
      </c>
      <c r="D31" s="6">
        <f t="shared" si="1"/>
        <v>-168162.79</v>
      </c>
      <c r="E31" s="7">
        <f t="shared" si="2"/>
        <v>-0.0325251933</v>
      </c>
      <c r="F31" s="6">
        <f>SUMIFS('Daily Metrics'!$D$2:$D$1054,'Daily Metrics'!$I$2:$I$1054,A31)</f>
        <v>146298</v>
      </c>
    </row>
    <row r="32" ht="15.0" customHeight="1">
      <c r="A32" s="2" t="s">
        <v>52</v>
      </c>
      <c r="B32" s="6">
        <f>SUMIFS('Daily Metrics'!$B$2:$B$1054,'Daily Metrics'!$I$2:$I$1054,A32)</f>
        <v>6771134.94</v>
      </c>
      <c r="C32" s="6">
        <f>SUMIFS('Daily Metrics'!$C$2:$C$1054,'Daily Metrics'!$I$2:$I$1054,A32)</f>
        <v>7168349.61</v>
      </c>
      <c r="D32" s="6">
        <f t="shared" si="1"/>
        <v>-397214.67</v>
      </c>
      <c r="E32" s="7">
        <f t="shared" si="2"/>
        <v>-0.05866293812</v>
      </c>
      <c r="F32" s="6">
        <f>SUMIFS('Daily Metrics'!$D$2:$D$1054,'Daily Metrics'!$I$2:$I$1054,A32)</f>
        <v>197469</v>
      </c>
    </row>
    <row r="33" ht="15.0" customHeight="1">
      <c r="A33" s="2" t="s">
        <v>53</v>
      </c>
      <c r="B33" s="6">
        <f>SUMIFS('Daily Metrics'!$B$2:$B$1054,'Daily Metrics'!$I$2:$I$1054,A33)</f>
        <v>3324825.44</v>
      </c>
      <c r="C33" s="6">
        <f>SUMIFS('Daily Metrics'!$C$2:$C$1054,'Daily Metrics'!$I$2:$I$1054,A33)</f>
        <v>3268397.27</v>
      </c>
      <c r="D33" s="6">
        <f t="shared" si="1"/>
        <v>56428.17</v>
      </c>
      <c r="E33" s="7">
        <f t="shared" si="2"/>
        <v>0.0169717692</v>
      </c>
      <c r="F33" s="6">
        <f>SUMIFS('Daily Metrics'!$D$2:$D$1054,'Daily Metrics'!$I$2:$I$1054,A33)</f>
        <v>90653</v>
      </c>
    </row>
    <row r="34" ht="15.0" customHeight="1">
      <c r="A34" s="2" t="s">
        <v>54</v>
      </c>
      <c r="B34" s="6">
        <f>SUMIFS('Daily Metrics'!$B$2:$B$1054,'Daily Metrics'!$I$2:$I$1054,A34)</f>
        <v>4343329.42</v>
      </c>
      <c r="C34" s="6">
        <f>SUMIFS('Daily Metrics'!$C$2:$C$1054,'Daily Metrics'!$I$2:$I$1054,A34)</f>
        <v>4479787.66</v>
      </c>
      <c r="D34" s="6">
        <f t="shared" si="1"/>
        <v>-136458.24</v>
      </c>
      <c r="E34" s="7">
        <f t="shared" si="2"/>
        <v>-0.03141788863</v>
      </c>
      <c r="F34" s="6">
        <f>SUMIFS('Daily Metrics'!$D$2:$D$1054,'Daily Metrics'!$I$2:$I$1054,A34)</f>
        <v>123621</v>
      </c>
    </row>
    <row r="35" ht="15.0" customHeight="1">
      <c r="A35" s="2" t="s">
        <v>55</v>
      </c>
      <c r="B35" s="6">
        <f>SUMIFS('Daily Metrics'!$B$2:$B$1054,'Daily Metrics'!$I$2:$I$1054,A35)</f>
        <v>3259542.51</v>
      </c>
      <c r="C35" s="6">
        <f>SUMIFS('Daily Metrics'!$C$2:$C$1054,'Daily Metrics'!$I$2:$I$1054,A35)</f>
        <v>3210197.29</v>
      </c>
      <c r="D35" s="6">
        <f t="shared" si="1"/>
        <v>49345.22</v>
      </c>
      <c r="E35" s="7">
        <f t="shared" si="2"/>
        <v>0.01513869503</v>
      </c>
      <c r="F35" s="6">
        <f>SUMIFS('Daily Metrics'!$D$2:$D$1054,'Daily Metrics'!$I$2:$I$1054,A35)</f>
        <v>88672</v>
      </c>
    </row>
    <row r="36" ht="15.0" customHeight="1">
      <c r="A36" s="2" t="s">
        <v>56</v>
      </c>
      <c r="B36" s="6">
        <f>SUMIFS('Daily Metrics'!$B$2:$B$1054,'Daily Metrics'!$I$2:$I$1054,A36)</f>
        <v>2329172.69</v>
      </c>
      <c r="C36" s="6">
        <f>SUMIFS('Daily Metrics'!$C$2:$C$1054,'Daily Metrics'!$I$2:$I$1054,A36)</f>
        <v>2109211.06</v>
      </c>
      <c r="D36" s="6">
        <f t="shared" si="1"/>
        <v>219961.63</v>
      </c>
      <c r="E36" s="7">
        <f t="shared" si="2"/>
        <v>0.0944376649</v>
      </c>
      <c r="F36" s="6">
        <f>SUMIFS('Daily Metrics'!$D$2:$D$1054,'Daily Metrics'!$I$2:$I$1054,A36)</f>
        <v>56667</v>
      </c>
    </row>
    <row r="37" ht="15.0" customHeight="1">
      <c r="A37" s="2" t="s">
        <v>57</v>
      </c>
      <c r="B37" s="6">
        <f>SUMIFS('Daily Metrics'!$B$2:$B$1054,'Daily Metrics'!$I$2:$I$1054,A37)</f>
        <v>1851029.85</v>
      </c>
      <c r="C37" s="6">
        <f>SUMIFS('Daily Metrics'!$C$2:$C$1054,'Daily Metrics'!$I$2:$I$1054,A37)</f>
        <v>1724472.88</v>
      </c>
      <c r="D37" s="6">
        <f t="shared" si="1"/>
        <v>126556.97</v>
      </c>
      <c r="E37" s="7">
        <f t="shared" si="2"/>
        <v>0.06837111244</v>
      </c>
      <c r="F37" s="6">
        <f>SUMIFS('Daily Metrics'!$D$2:$D$1054,'Daily Metrics'!$I$2:$I$1054,A37)</f>
        <v>43107</v>
      </c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0.71"/>
    <col customWidth="1" min="4" max="4" width="21.43"/>
    <col customWidth="1" min="5" max="8" width="16.0"/>
    <col customWidth="1" min="9" max="26" width="8.71"/>
  </cols>
  <sheetData>
    <row r="1" ht="15.0" customHeight="1">
      <c r="A1" s="1" t="s">
        <v>2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14</v>
      </c>
      <c r="H1" s="3" t="s">
        <v>17</v>
      </c>
    </row>
    <row r="2" ht="15.0" customHeight="1">
      <c r="A2" s="2">
        <v>2013.0</v>
      </c>
      <c r="B2" s="6">
        <f>SUMIFS('Daily Metrics'!$B$2:$B$1054,'Daily Metrics'!$J$2:$J$1054,A2)</f>
        <v>524283.45</v>
      </c>
      <c r="C2" s="6">
        <f>SUMIFS('Daily Metrics'!$C$2:$C$1054,'Daily Metrics'!$J$2:$J$1054,A2)</f>
        <v>537065.74</v>
      </c>
      <c r="D2" s="6">
        <f t="shared" ref="D2:D5" si="1">B2-C2</f>
        <v>-12782.29</v>
      </c>
      <c r="E2" s="7">
        <f t="shared" ref="E2:E5" si="2">D2/B2</f>
        <v>-0.02438049494</v>
      </c>
      <c r="F2" s="6">
        <f>SUMIFS('Daily Metrics'!$D$2:$D$1054,'Daily Metrics'!$J$2:$J$1054,A2)</f>
        <v>16095</v>
      </c>
      <c r="G2" s="5">
        <f>AVERAGEIFS('Daily Metrics'!$E$2:$E$1054,'Daily Metrics'!$J$2:$J$1054,A2)</f>
        <v>32.60426591</v>
      </c>
      <c r="H2" s="2">
        <f>COUNTIFS('Daily Metrics'!$J$2:$J$1054,A2)</f>
        <v>2</v>
      </c>
    </row>
    <row r="3" ht="15.0" customHeight="1">
      <c r="A3" s="2">
        <v>2014.0</v>
      </c>
      <c r="B3" s="6">
        <f>SUMIFS('Daily Metrics'!$B$2:$B$1054,'Daily Metrics'!$J$2:$J$1054,A3)</f>
        <v>75414975.64</v>
      </c>
      <c r="C3" s="6">
        <f>SUMIFS('Daily Metrics'!$C$2:$C$1054,'Daily Metrics'!$J$2:$J$1054,A3)</f>
        <v>77680849.63</v>
      </c>
      <c r="D3" s="6">
        <f t="shared" si="1"/>
        <v>-2265873.99</v>
      </c>
      <c r="E3" s="7">
        <f t="shared" si="2"/>
        <v>-0.03004541168</v>
      </c>
      <c r="F3" s="6">
        <f>SUMIFS('Daily Metrics'!$D$2:$D$1054,'Daily Metrics'!$J$2:$J$1054,A3)</f>
        <v>2254230</v>
      </c>
      <c r="G3" s="5">
        <f>AVERAGEIFS('Daily Metrics'!$E$2:$E$1054,'Daily Metrics'!$J$2:$J$1054,A3)</f>
        <v>34.57353298</v>
      </c>
      <c r="H3" s="2">
        <f>COUNTIFS('Daily Metrics'!$J$2:$J$1054,A3)</f>
        <v>365</v>
      </c>
    </row>
    <row r="4" ht="15.0" customHeight="1">
      <c r="A4" s="2">
        <v>2015.0</v>
      </c>
      <c r="B4" s="6">
        <f>SUMIFS('Daily Metrics'!$B$2:$B$1054,'Daily Metrics'!$J$2:$J$1054,A4)</f>
        <v>64017593.36</v>
      </c>
      <c r="C4" s="6">
        <f>SUMIFS('Daily Metrics'!$C$2:$C$1054,'Daily Metrics'!$J$2:$J$1054,A4)</f>
        <v>67917203.96</v>
      </c>
      <c r="D4" s="6">
        <f t="shared" si="1"/>
        <v>-3899610.6</v>
      </c>
      <c r="E4" s="7">
        <f t="shared" si="2"/>
        <v>-0.06091467041</v>
      </c>
      <c r="F4" s="6">
        <f>SUMIFS('Daily Metrics'!$D$2:$D$1054,'Daily Metrics'!$J$2:$J$1054,A4)</f>
        <v>1715089</v>
      </c>
      <c r="G4" s="5">
        <f>AVERAGEIFS('Daily Metrics'!$E$2:$E$1054,'Daily Metrics'!$J$2:$J$1054,A4)</f>
        <v>38.3274821</v>
      </c>
      <c r="H4" s="2">
        <f>COUNTIFS('Daily Metrics'!$J$2:$J$1054,A4)</f>
        <v>365</v>
      </c>
    </row>
    <row r="5" ht="15.0" customHeight="1">
      <c r="A5" s="2">
        <v>2016.0</v>
      </c>
      <c r="B5" s="6">
        <f>SUMIFS('Daily Metrics'!$B$2:$B$1054,'Daily Metrics'!$J$2:$J$1054,A5)</f>
        <v>46952975.67</v>
      </c>
      <c r="C5" s="6">
        <f>SUMIFS('Daily Metrics'!$C$2:$C$1054,'Daily Metrics'!$J$2:$J$1054,A5)</f>
        <v>47890990.24</v>
      </c>
      <c r="D5" s="6">
        <f t="shared" si="1"/>
        <v>-938014.57</v>
      </c>
      <c r="E5" s="7">
        <f t="shared" si="2"/>
        <v>-0.0199777449</v>
      </c>
      <c r="F5" s="6">
        <f>SUMIFS('Daily Metrics'!$D$2:$D$1054,'Daily Metrics'!$J$2:$J$1054,A5)</f>
        <v>1294458</v>
      </c>
      <c r="G5" s="5">
        <f>AVERAGEIFS('Daily Metrics'!$E$2:$E$1054,'Daily Metrics'!$J$2:$J$1054,A5)</f>
        <v>38.51599264</v>
      </c>
      <c r="H5" s="2">
        <f>COUNTIFS('Daily Metrics'!$J$2:$J$1054,A5)</f>
        <v>321</v>
      </c>
    </row>
    <row r="6">
      <c r="A6" s="2"/>
      <c r="B6" s="2"/>
      <c r="C6" s="2"/>
      <c r="D6" s="2"/>
      <c r="E6" s="2"/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15.75" customHeight="1">
      <c r="A22" s="2"/>
      <c r="B22" s="2"/>
      <c r="C22" s="2"/>
      <c r="D22" s="2"/>
      <c r="E22" s="2"/>
      <c r="F22" s="2"/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2"/>
      <c r="D24" s="2"/>
      <c r="E24" s="2"/>
      <c r="F24" s="2"/>
      <c r="G24" s="2"/>
      <c r="H24" s="2"/>
    </row>
    <row r="25" ht="15.75" customHeight="1">
      <c r="A25" s="2"/>
      <c r="B25" s="2"/>
      <c r="C25" s="2"/>
      <c r="D25" s="2"/>
      <c r="E25" s="2"/>
      <c r="F25" s="2"/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0.43"/>
    <col customWidth="1" min="4" max="5" width="16.0"/>
    <col customWidth="1" min="6" max="26" width="8.71"/>
  </cols>
  <sheetData>
    <row r="1" ht="15.0" customHeight="1">
      <c r="A1" s="1" t="s">
        <v>20</v>
      </c>
      <c r="B1" s="1" t="s">
        <v>19</v>
      </c>
      <c r="C1" s="1" t="s">
        <v>58</v>
      </c>
      <c r="D1" s="1" t="s">
        <v>59</v>
      </c>
      <c r="E1" s="1" t="s">
        <v>14</v>
      </c>
    </row>
    <row r="2" ht="15.0" customHeight="1">
      <c r="A2" s="2" t="s">
        <v>60</v>
      </c>
      <c r="B2" s="2">
        <v>1.0</v>
      </c>
      <c r="C2" s="6">
        <f>AVERAGEIFS('Daily Metrics'!$B$2:$B$1054,'Daily Metrics'!$K$2:$K$1054,B2)</f>
        <v>138170.8569</v>
      </c>
      <c r="D2" s="6">
        <f>AVERAGEIFS('Daily Metrics'!$D$2:$D$1054,'Daily Metrics'!$K$2:$K$1054,B2)</f>
        <v>3897.1</v>
      </c>
      <c r="E2" s="5">
        <f>AVERAGEIFS('Daily Metrics'!$E$2:$E$1054,'Daily Metrics'!$K$2:$K$1054,B2)</f>
        <v>37.01550342</v>
      </c>
    </row>
    <row r="3" ht="15.0" customHeight="1">
      <c r="A3" s="2" t="s">
        <v>61</v>
      </c>
      <c r="B3" s="2">
        <v>2.0</v>
      </c>
      <c r="C3" s="6">
        <f>AVERAGEIFS('Daily Metrics'!$B$2:$B$1054,'Daily Metrics'!$K$2:$K$1054,B3)</f>
        <v>156313.0348</v>
      </c>
      <c r="D3" s="6">
        <f>AVERAGEIFS('Daily Metrics'!$D$2:$D$1054,'Daily Metrics'!$K$2:$K$1054,B3)</f>
        <v>4400.046358</v>
      </c>
      <c r="E3" s="5">
        <f>AVERAGEIFS('Daily Metrics'!$E$2:$E$1054,'Daily Metrics'!$K$2:$K$1054,B3)</f>
        <v>37.24281336</v>
      </c>
    </row>
    <row r="4" ht="15.0" customHeight="1">
      <c r="A4" s="2" t="s">
        <v>62</v>
      </c>
      <c r="B4" s="2">
        <v>3.0</v>
      </c>
      <c r="C4" s="6">
        <f>AVERAGEIFS('Daily Metrics'!$B$2:$B$1054,'Daily Metrics'!$K$2:$K$1054,B4)</f>
        <v>137314.8579</v>
      </c>
      <c r="D4" s="6">
        <f>AVERAGEIFS('Daily Metrics'!$D$2:$D$1054,'Daily Metrics'!$K$2:$K$1054,B4)</f>
        <v>3851.701987</v>
      </c>
      <c r="E4" s="5">
        <f>AVERAGEIFS('Daily Metrics'!$E$2:$E$1054,'Daily Metrics'!$K$2:$K$1054,B4)</f>
        <v>37.2326959</v>
      </c>
    </row>
    <row r="5" ht="15.0" customHeight="1">
      <c r="A5" s="2" t="s">
        <v>63</v>
      </c>
      <c r="B5" s="2">
        <v>4.0</v>
      </c>
      <c r="C5" s="6">
        <f>AVERAGEIFS('Daily Metrics'!$B$2:$B$1054,'Daily Metrics'!$K$2:$K$1054,B5)</f>
        <v>145890.6593</v>
      </c>
      <c r="D5" s="6">
        <f>AVERAGEIFS('Daily Metrics'!$D$2:$D$1054,'Daily Metrics'!$K$2:$K$1054,B5)</f>
        <v>4105.993377</v>
      </c>
      <c r="E5" s="5">
        <f>AVERAGEIFS('Daily Metrics'!$E$2:$E$1054,'Daily Metrics'!$K$2:$K$1054,B5)</f>
        <v>37.01579074</v>
      </c>
    </row>
    <row r="6" ht="15.0" customHeight="1">
      <c r="A6" s="2" t="s">
        <v>64</v>
      </c>
      <c r="B6" s="2">
        <v>5.0</v>
      </c>
      <c r="C6" s="6">
        <f>AVERAGEIFS('Daily Metrics'!$B$2:$B$1054,'Daily Metrics'!$K$2:$K$1054,B6)</f>
        <v>141084.7583</v>
      </c>
      <c r="D6" s="6">
        <f>AVERAGEIFS('Daily Metrics'!$D$2:$D$1054,'Daily Metrics'!$K$2:$K$1054,B6)</f>
        <v>3969.22</v>
      </c>
      <c r="E6" s="5">
        <f>AVERAGEIFS('Daily Metrics'!$E$2:$E$1054,'Daily Metrics'!$K$2:$K$1054,B6)</f>
        <v>37.16142187</v>
      </c>
    </row>
    <row r="7" ht="15.0" customHeight="1">
      <c r="A7" s="2" t="s">
        <v>65</v>
      </c>
      <c r="B7" s="2">
        <v>6.0</v>
      </c>
      <c r="C7" s="6">
        <f>AVERAGEIFS('Daily Metrics'!$B$2:$B$1054,'Daily Metrics'!$K$2:$K$1054,B7)</f>
        <v>245313.9701</v>
      </c>
      <c r="D7" s="6">
        <f>AVERAGEIFS('Daily Metrics'!$D$2:$D$1054,'Daily Metrics'!$K$2:$K$1054,B7)</f>
        <v>6955.393333</v>
      </c>
      <c r="E7" s="5">
        <f>AVERAGEIFS('Daily Metrics'!$E$2:$E$1054,'Daily Metrics'!$K$2:$K$1054,B7)</f>
        <v>36.9822631</v>
      </c>
    </row>
    <row r="8" ht="15.0" customHeight="1">
      <c r="A8" s="2" t="s">
        <v>66</v>
      </c>
      <c r="B8" s="2">
        <v>7.0</v>
      </c>
      <c r="C8" s="6">
        <f>AVERAGEIFS('Daily Metrics'!$B$2:$B$1054,'Daily Metrics'!$K$2:$K$1054,B8)</f>
        <v>279047.2597</v>
      </c>
      <c r="D8" s="6">
        <f>AVERAGEIFS('Daily Metrics'!$D$2:$D$1054,'Daily Metrics'!$K$2:$K$1054,B8)</f>
        <v>7937.306667</v>
      </c>
      <c r="E8" s="5">
        <f>AVERAGEIFS('Daily Metrics'!$E$2:$E$1054,'Daily Metrics'!$K$2:$K$1054,B8)</f>
        <v>36.8576541</v>
      </c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5" width="16.0"/>
    <col customWidth="1" min="6" max="6" width="26.86"/>
    <col customWidth="1" min="7" max="7" width="21.71"/>
    <col customWidth="1" min="8" max="10" width="16.0"/>
    <col customWidth="1" min="11" max="11" width="18.14"/>
    <col customWidth="1" min="12" max="12" width="26.14"/>
    <col customWidth="1" min="13" max="26" width="8.71"/>
  </cols>
  <sheetData>
    <row r="1" ht="15.0" customHeight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</row>
    <row r="2" ht="15.0" customHeight="1">
      <c r="A2" s="2" t="s">
        <v>79</v>
      </c>
      <c r="B2" s="4" t="s">
        <v>80</v>
      </c>
      <c r="C2" s="4" t="s">
        <v>81</v>
      </c>
      <c r="D2" s="4" t="s">
        <v>82</v>
      </c>
      <c r="E2" s="4" t="s">
        <v>83</v>
      </c>
      <c r="F2" s="5">
        <f>AVERAGEIFS('Daily Metrics'!$E$2:$E$1054,'Daily Metrics'!$A$2:$A$1054,"&gt;="&amp;B2,'Daily Metrics'!$A$2:$A$1054,"&lt;="&amp;C2)</f>
        <v>40.02706932</v>
      </c>
      <c r="G2" s="5">
        <f>AVERAGEIFS('Daily Metrics'!$E$2:$E$1054,'Daily Metrics'!$A$2:$A$1054,"&gt;="&amp;D2,'Daily Metrics'!$A$2:$A$1054,"&lt;="&amp;E2)</f>
        <v>34.07282383</v>
      </c>
      <c r="H2" s="7">
        <f t="shared" ref="H2:H4" si="1">(G2-F2)/F2</f>
        <v>-0.1487554695</v>
      </c>
      <c r="I2" s="6">
        <f>AVERAGEIFS('Daily Metrics'!$D$2:$D$1054,'Daily Metrics'!$A$2:$A$1054,"&gt;="&amp;B2,'Daily Metrics'!$A$2:$A$1054,"&lt;="&amp;C2)</f>
        <v>3100.777778</v>
      </c>
      <c r="J2" s="6">
        <f>AVERAGEIFS('Daily Metrics'!$D$2:$D$1054,'Daily Metrics'!$A$2:$A$1054,"&gt;="&amp;D2,'Daily Metrics'!$A$2:$A$1054,"&lt;="&amp;E2)</f>
        <v>7925.111111</v>
      </c>
      <c r="K2" s="7">
        <f t="shared" ref="K2:K4" si="2">(J2-I2)/I2</f>
        <v>1.555846203</v>
      </c>
      <c r="L2" s="12">
        <f t="shared" ref="L2:L4" si="3">K2/H2</f>
        <v>-10.4590857</v>
      </c>
    </row>
    <row r="3" ht="15.0" customHeight="1">
      <c r="A3" s="2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5">
        <f>AVERAGEIFS('Daily Metrics'!$E$2:$E$1054,'Daily Metrics'!$A$2:$A$1054,"&gt;="&amp;B3,'Daily Metrics'!$A$2:$A$1054,"&lt;="&amp;C3)</f>
        <v>39.13751378</v>
      </c>
      <c r="G3" s="5">
        <f>AVERAGEIFS('Daily Metrics'!$E$2:$E$1054,'Daily Metrics'!$A$2:$A$1054,"&gt;="&amp;D3,'Daily Metrics'!$A$2:$A$1054,"&lt;="&amp;E3)</f>
        <v>33.39634916</v>
      </c>
      <c r="H3" s="7">
        <f t="shared" si="1"/>
        <v>-0.1466921138</v>
      </c>
      <c r="I3" s="6">
        <f>AVERAGEIFS('Daily Metrics'!$D$2:$D$1054,'Daily Metrics'!$A$2:$A$1054,"&gt;="&amp;B3,'Daily Metrics'!$A$2:$A$1054,"&lt;="&amp;C3)</f>
        <v>1339.428571</v>
      </c>
      <c r="J3" s="6">
        <f>AVERAGEIFS('Daily Metrics'!$D$2:$D$1054,'Daily Metrics'!$A$2:$A$1054,"&gt;="&amp;D3,'Daily Metrics'!$A$2:$A$1054,"&lt;="&amp;E3)</f>
        <v>8089.357143</v>
      </c>
      <c r="K3" s="7">
        <f t="shared" si="2"/>
        <v>5.03940913</v>
      </c>
      <c r="L3" s="12">
        <f t="shared" si="3"/>
        <v>-34.35364724</v>
      </c>
    </row>
    <row r="4" ht="15.0" customHeight="1">
      <c r="A4" s="2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5">
        <f>AVERAGEIFS('Daily Metrics'!$E$2:$E$1054,'Daily Metrics'!$A$2:$A$1054,"&gt;="&amp;B4,'Daily Metrics'!$A$2:$A$1054,"&lt;="&amp;C4)</f>
        <v>35.03305332</v>
      </c>
      <c r="G4" s="5">
        <f>AVERAGEIFS('Daily Metrics'!$E$2:$E$1054,'Daily Metrics'!$A$2:$A$1054,"&gt;="&amp;D4,'Daily Metrics'!$A$2:$A$1054,"&lt;="&amp;E4)</f>
        <v>33.3869012</v>
      </c>
      <c r="H4" s="7">
        <f t="shared" si="1"/>
        <v>-0.04698854269</v>
      </c>
      <c r="I4" s="6">
        <f>AVERAGEIFS('Daily Metrics'!$D$2:$D$1054,'Daily Metrics'!$A$2:$A$1054,"&gt;="&amp;B4,'Daily Metrics'!$A$2:$A$1054,"&lt;="&amp;C4)</f>
        <v>6719.3</v>
      </c>
      <c r="J4" s="6">
        <f>AVERAGEIFS('Daily Metrics'!$D$2:$D$1054,'Daily Metrics'!$A$2:$A$1054,"&gt;="&amp;D4,'Daily Metrics'!$A$2:$A$1054,"&lt;="&amp;E4)</f>
        <v>8474.5</v>
      </c>
      <c r="K4" s="7">
        <f t="shared" si="2"/>
        <v>0.2612176864</v>
      </c>
      <c r="L4" s="12">
        <f t="shared" si="3"/>
        <v>-5.55917829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26" width="8.71"/>
  </cols>
  <sheetData>
    <row r="1" ht="15.0" customHeight="1">
      <c r="A1" s="1" t="s">
        <v>94</v>
      </c>
      <c r="B1" s="1" t="s">
        <v>95</v>
      </c>
    </row>
    <row r="2" ht="15.0" customHeight="1">
      <c r="A2" s="2" t="s">
        <v>3</v>
      </c>
      <c r="B2" s="6">
        <f>SUM('Daily Metrics'!$B$2:$B$1054)</f>
        <v>186909828.1</v>
      </c>
    </row>
    <row r="3" ht="15.0" customHeight="1">
      <c r="A3" s="2" t="s">
        <v>5</v>
      </c>
      <c r="B3" s="6">
        <f>SUM('Daily Metrics'!$C$2:$C$1054)</f>
        <v>194026109.6</v>
      </c>
    </row>
    <row r="4" ht="15.0" customHeight="1">
      <c r="A4" s="2" t="s">
        <v>7</v>
      </c>
      <c r="B4" s="6">
        <f>B2-B3</f>
        <v>-7116281.45</v>
      </c>
    </row>
    <row r="5" ht="15.0" customHeight="1">
      <c r="A5" s="2" t="s">
        <v>96</v>
      </c>
      <c r="B5" s="7">
        <f>B4/B2</f>
        <v>-0.03807334008</v>
      </c>
    </row>
    <row r="6" ht="15.0" customHeight="1">
      <c r="A6" s="2" t="s">
        <v>12</v>
      </c>
      <c r="B6" s="6">
        <f>SUM('Daily Metrics'!$D$2:$D$1054)</f>
        <v>5279872</v>
      </c>
    </row>
    <row r="7" ht="15.0" customHeight="1">
      <c r="A7" s="2" t="s">
        <v>97</v>
      </c>
      <c r="B7" s="5">
        <f>AVERAGE('Daily Metrics'!$E$2:$E$1054)</f>
        <v>37.07285154</v>
      </c>
    </row>
    <row r="8" ht="15.0" customHeight="1">
      <c r="A8" s="2" t="s">
        <v>98</v>
      </c>
      <c r="B8" s="5">
        <f>B2/B6</f>
        <v>35.40044685</v>
      </c>
    </row>
    <row r="9" ht="15.0" customHeight="1">
      <c r="A9" s="2" t="s">
        <v>99</v>
      </c>
      <c r="B9" s="6">
        <f>COUNT('Daily Metrics'!$A$2:$A$1054)</f>
        <v>1053</v>
      </c>
    </row>
    <row r="10" ht="15.0" customHeight="1">
      <c r="A10" s="2" t="s">
        <v>100</v>
      </c>
      <c r="B10" s="4">
        <f>MIN('Daily Metrics'!$A$2:$A$1054)</f>
        <v>41638</v>
      </c>
    </row>
    <row r="11" ht="15.0" customHeight="1">
      <c r="A11" s="2" t="s">
        <v>101</v>
      </c>
      <c r="B11" s="4">
        <f>MAX('Daily Metrics'!$A$2:$A$1054)</f>
        <v>42690</v>
      </c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